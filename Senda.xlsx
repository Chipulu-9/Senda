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shimba C Chipulu\OneDrive\Documents\"/>
    </mc:Choice>
  </mc:AlternateContent>
  <xr:revisionPtr revIDLastSave="0" documentId="10_ncr:8100000_{56C5D6BB-8D31-48D4-9198-8FB9737EFC52}" xr6:coauthVersionLast="34" xr6:coauthVersionMax="47" xr10:uidLastSave="{00000000-0000-0000-0000-000000000000}"/>
  <bookViews>
    <workbookView xWindow="-120" yWindow="-120" windowWidth="20730" windowHeight="11760" xr2:uid="{2C0BFD40-497B-4B2D-89C1-A5CD132FF4B9}"/>
  </bookViews>
  <sheets>
    <sheet name="HOME" sheetId="1" r:id="rId1"/>
    <sheet name="DELIVERY" sheetId="2" r:id="rId2"/>
    <sheet name="MANAGEMENT MODULE" sheetId="3" r:id="rId3"/>
    <sheet name="STOCK" sheetId="4" r:id="rId4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9" i="3" l="1"/>
  <c r="O10" i="3" l="1"/>
  <c r="W15" i="3"/>
  <c r="Z10" i="3"/>
  <c r="Z9" i="3"/>
  <c r="Z8" i="3"/>
  <c r="Z7" i="3"/>
  <c r="Z6" i="3"/>
  <c r="W14" i="3"/>
  <c r="W13" i="3"/>
  <c r="W12" i="3"/>
  <c r="W11" i="3"/>
  <c r="W10" i="3"/>
  <c r="W9" i="3"/>
  <c r="W8" i="3"/>
  <c r="W7" i="3"/>
  <c r="W6" i="3"/>
  <c r="F7" i="3" l="1"/>
  <c r="D6" i="3" l="1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5" i="3"/>
  <c r="F6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5" i="3"/>
  <c r="F11" i="4" s="1"/>
  <c r="F12" i="4" l="1"/>
  <c r="F5" i="4"/>
  <c r="F9" i="4"/>
  <c r="F7" i="4"/>
  <c r="F4" i="4"/>
  <c r="F6" i="4"/>
  <c r="F8" i="4"/>
  <c r="F10" i="4"/>
  <c r="E5" i="4" l="1"/>
  <c r="G5" i="4" s="1"/>
  <c r="E6" i="4"/>
  <c r="G6" i="4" s="1"/>
  <c r="E7" i="4"/>
  <c r="G7" i="4" s="1"/>
  <c r="E8" i="4"/>
  <c r="G8" i="4"/>
  <c r="E9" i="4"/>
  <c r="G9" i="4"/>
  <c r="E10" i="4"/>
  <c r="G10" i="4"/>
  <c r="E11" i="4"/>
  <c r="G11" i="4"/>
  <c r="E12" i="4"/>
  <c r="G12" i="4"/>
  <c r="E4" i="4"/>
  <c r="G4" i="4" s="1"/>
  <c r="N6" i="3" s="1"/>
  <c r="O21" i="3"/>
  <c r="P21" i="3" s="1"/>
  <c r="Q21" i="3" s="1"/>
  <c r="O22" i="3"/>
  <c r="P22" i="3" s="1"/>
  <c r="Q22" i="3" s="1"/>
  <c r="O23" i="3"/>
  <c r="P23" i="3" s="1"/>
  <c r="Q23" i="3" s="1"/>
  <c r="O24" i="3"/>
  <c r="P24" i="3" s="1"/>
  <c r="Q24" i="3" s="1"/>
  <c r="O6" i="3"/>
  <c r="P6" i="3" s="1"/>
  <c r="Q6" i="3" s="1"/>
  <c r="O7" i="3"/>
  <c r="P7" i="3" s="1"/>
  <c r="Q7" i="3" s="1"/>
  <c r="O8" i="3"/>
  <c r="P8" i="3" s="1"/>
  <c r="Q8" i="3" s="1"/>
  <c r="O9" i="3"/>
  <c r="P9" i="3" s="1"/>
  <c r="Q9" i="3" s="1"/>
  <c r="P10" i="3"/>
  <c r="Q10" i="3" s="1"/>
  <c r="O11" i="3"/>
  <c r="P11" i="3" s="1"/>
  <c r="Q11" i="3" s="1"/>
  <c r="O12" i="3"/>
  <c r="P12" i="3" s="1"/>
  <c r="Q12" i="3" s="1"/>
  <c r="O13" i="3"/>
  <c r="P13" i="3" s="1"/>
  <c r="Q13" i="3" s="1"/>
  <c r="O14" i="3"/>
  <c r="P14" i="3" s="1"/>
  <c r="Q14" i="3" s="1"/>
  <c r="O15" i="3"/>
  <c r="P15" i="3" s="1"/>
  <c r="Q15" i="3" s="1"/>
  <c r="O16" i="3"/>
  <c r="P16" i="3" s="1"/>
  <c r="Q16" i="3" s="1"/>
  <c r="O17" i="3"/>
  <c r="P17" i="3" s="1"/>
  <c r="Q17" i="3" s="1"/>
  <c r="O18" i="3"/>
  <c r="P18" i="3" s="1"/>
  <c r="Q18" i="3" s="1"/>
  <c r="O19" i="3"/>
  <c r="P19" i="3" s="1"/>
  <c r="Q19" i="3" s="1"/>
  <c r="O20" i="3"/>
  <c r="P20" i="3" s="1"/>
  <c r="Q20" i="3" s="1"/>
  <c r="O5" i="3"/>
  <c r="P5" i="3" s="1"/>
  <c r="Q5" i="3" s="1"/>
  <c r="N7" i="2"/>
  <c r="O7" i="2" s="1"/>
  <c r="N8" i="2"/>
  <c r="O8" i="2" s="1"/>
  <c r="N9" i="2"/>
  <c r="O9" i="2" s="1"/>
  <c r="N10" i="2"/>
  <c r="O10" i="2" s="1"/>
  <c r="N11" i="2"/>
  <c r="O11" i="2" s="1"/>
  <c r="N12" i="2"/>
  <c r="O12" i="2" s="1"/>
  <c r="N13" i="2"/>
  <c r="O13" i="2" s="1"/>
  <c r="N14" i="2"/>
  <c r="O14" i="2" s="1"/>
  <c r="N15" i="2"/>
  <c r="O15" i="2" s="1"/>
  <c r="N16" i="2"/>
  <c r="O16" i="2" s="1"/>
  <c r="N17" i="2"/>
  <c r="O17" i="2" s="1"/>
  <c r="N18" i="2"/>
  <c r="O18" i="2" s="1"/>
  <c r="N19" i="2"/>
  <c r="O19" i="2" s="1"/>
  <c r="N20" i="2"/>
  <c r="O20" i="2" s="1"/>
  <c r="N21" i="2"/>
  <c r="O21" i="2" s="1"/>
  <c r="N22" i="2"/>
  <c r="O22" i="2" s="1"/>
  <c r="N23" i="2"/>
  <c r="N24" i="2"/>
  <c r="N6" i="2"/>
  <c r="O6" i="2" s="1"/>
  <c r="N5" i="2"/>
  <c r="O5" i="2" s="1"/>
  <c r="O23" i="2"/>
  <c r="O24" i="2"/>
  <c r="N14" i="3" l="1"/>
  <c r="N5" i="3"/>
  <c r="N20" i="3"/>
  <c r="N21" i="3"/>
  <c r="N23" i="3"/>
  <c r="N11" i="3"/>
  <c r="N12" i="3"/>
  <c r="N15" i="3"/>
  <c r="N7" i="3"/>
  <c r="N17" i="3"/>
  <c r="N8" i="3"/>
  <c r="N16" i="3"/>
  <c r="N22" i="3"/>
  <c r="N18" i="3"/>
  <c r="N13" i="3"/>
  <c r="N9" i="3"/>
  <c r="N24" i="3"/>
  <c r="N10" i="3"/>
</calcChain>
</file>

<file path=xl/sharedStrings.xml><?xml version="1.0" encoding="utf-8"?>
<sst xmlns="http://schemas.openxmlformats.org/spreadsheetml/2006/main" count="205" uniqueCount="133">
  <si>
    <t>MAIN MENU</t>
  </si>
  <si>
    <t>DELIVERY MODULE</t>
  </si>
  <si>
    <t>LAPTOP</t>
  </si>
  <si>
    <t>BRAND NAME</t>
  </si>
  <si>
    <t>MODEL</t>
  </si>
  <si>
    <t>SERIAL NO</t>
  </si>
  <si>
    <t>DELIVERER</t>
  </si>
  <si>
    <t>RECIEVER</t>
  </si>
  <si>
    <t>DELIVERY DATE</t>
  </si>
  <si>
    <t>DAYS IN STORE</t>
  </si>
  <si>
    <t>DELL</t>
  </si>
  <si>
    <t>TOSHIBA</t>
  </si>
  <si>
    <t>ASUS</t>
  </si>
  <si>
    <t>LENOVO</t>
  </si>
  <si>
    <t>SAMSUNG</t>
  </si>
  <si>
    <t>SONY</t>
  </si>
  <si>
    <t>ACER</t>
  </si>
  <si>
    <t>APPLE</t>
  </si>
  <si>
    <t>HP</t>
  </si>
  <si>
    <t>MAC BOOK AIR 2019</t>
  </si>
  <si>
    <t>X1 CARBON</t>
  </si>
  <si>
    <t>GALAXY GT-3</t>
  </si>
  <si>
    <t>TETRA</t>
  </si>
  <si>
    <t>SETELLITE PRO</t>
  </si>
  <si>
    <t>THINKPAD GT233</t>
  </si>
  <si>
    <t>ZEN BOOK 16</t>
  </si>
  <si>
    <t>XPERIA 2321</t>
  </si>
  <si>
    <t>TECRA</t>
  </si>
  <si>
    <t>SWIFT 3X</t>
  </si>
  <si>
    <t>PREDETOR TRITON</t>
  </si>
  <si>
    <t>PROBOOK GMT</t>
  </si>
  <si>
    <t>MAC BOOK AIR 2021</t>
  </si>
  <si>
    <t>ENVY 17</t>
  </si>
  <si>
    <t>INSPIRON</t>
  </si>
  <si>
    <t>VAIO GT4</t>
  </si>
  <si>
    <t xml:space="preserve">PROBOOK </t>
  </si>
  <si>
    <t>THINKPAD T450</t>
  </si>
  <si>
    <t>TECRA A50 D</t>
  </si>
  <si>
    <t>STATUS</t>
  </si>
  <si>
    <t>MEMBER OF STAFF</t>
  </si>
  <si>
    <t>MANAGEMENT MODULE</t>
  </si>
  <si>
    <t xml:space="preserve">DATE ISSUED IN </t>
  </si>
  <si>
    <t>DATE ISSUED OUT</t>
  </si>
  <si>
    <t>Monday, June 30,2020</t>
  </si>
  <si>
    <t>Thursday, February 10, 2020</t>
  </si>
  <si>
    <t>CURRENT DATE</t>
  </si>
  <si>
    <t>LAPTOP OUT (TIME)</t>
  </si>
  <si>
    <t>Friday, January 17, 2020</t>
  </si>
  <si>
    <t>Wednesday, March 25, 2020</t>
  </si>
  <si>
    <t>Monday, February 24,2020</t>
  </si>
  <si>
    <t>Monday, September 21,2020</t>
  </si>
  <si>
    <t>Thursday, March 8, 2020</t>
  </si>
  <si>
    <t>Tuesday, October 27, 2020</t>
  </si>
  <si>
    <t>Tuesday, July 20, 2020</t>
  </si>
  <si>
    <t>Friday, May 15, 2020</t>
  </si>
  <si>
    <t>Monday, March 29, 2020</t>
  </si>
  <si>
    <t>Wednesday, june 3, 2020</t>
  </si>
  <si>
    <t>Monday, March 16, 2020</t>
  </si>
  <si>
    <t>Wednesday, August 17, 2020</t>
  </si>
  <si>
    <t>Friday, December 10, 2020</t>
  </si>
  <si>
    <t>Tusday, November 14, 2020</t>
  </si>
  <si>
    <t>Thursday, September 16, 2020</t>
  </si>
  <si>
    <t>Tusday, August 11, 2020</t>
  </si>
  <si>
    <t>Monday, May 20, 2020</t>
  </si>
  <si>
    <t>Maximum(8h)</t>
  </si>
  <si>
    <t>THE ZAMBIA ICT COLLEGE AUTOMATED INVENTORY SYSTEM</t>
  </si>
  <si>
    <t>AVAILABLE</t>
  </si>
  <si>
    <t>JOHN McCORD</t>
  </si>
  <si>
    <t>JACE SHIPMAN</t>
  </si>
  <si>
    <t>RAYAN GEOFREY</t>
  </si>
  <si>
    <t xml:space="preserve">NICK POWELL </t>
  </si>
  <si>
    <t>LEWIS AURTHER</t>
  </si>
  <si>
    <t>ALEX MAGUIRE</t>
  </si>
  <si>
    <t>LIZZY MAGUIRE</t>
  </si>
  <si>
    <t>JACKSON SCHNEIDER</t>
  </si>
  <si>
    <t>GILBERT FREEMAN</t>
  </si>
  <si>
    <t xml:space="preserve"> EJ RONALD</t>
  </si>
  <si>
    <t>LEWIS KHAN</t>
  </si>
  <si>
    <t xml:space="preserve">TOM WALTERFIELD </t>
  </si>
  <si>
    <t>SAHI PTr</t>
  </si>
  <si>
    <t xml:space="preserve">BENSON McLYNDON </t>
  </si>
  <si>
    <t xml:space="preserve">DAVE INGERWOOD </t>
  </si>
  <si>
    <t>RICO THOMPSON</t>
  </si>
  <si>
    <t>CIARA JOHNSON</t>
  </si>
  <si>
    <t>CARLY OSMAN</t>
  </si>
  <si>
    <t>JENNY BERNARD</t>
  </si>
  <si>
    <t xml:space="preserve"> FROSS KELLY</t>
  </si>
  <si>
    <t>MELISA ARTHERWAY</t>
  </si>
  <si>
    <t>NATASHA BENUIRE</t>
  </si>
  <si>
    <t>SAMUEL DAVIES</t>
  </si>
  <si>
    <t>JOE LYNDON</t>
  </si>
  <si>
    <t>RACHEAL KENHOOD</t>
  </si>
  <si>
    <t>SALI DAEL</t>
  </si>
  <si>
    <t>LUST PICKFORD</t>
  </si>
  <si>
    <t>DEXTER WILLIAMS</t>
  </si>
  <si>
    <t>JANE FIREMANS</t>
  </si>
  <si>
    <t>NATHAN BARBERMAN</t>
  </si>
  <si>
    <t>RODGERS WYNTER</t>
  </si>
  <si>
    <t>ALEXANDRO KOVIC</t>
  </si>
  <si>
    <t>ARNOLD PETE</t>
  </si>
  <si>
    <t>JACE MANCHESTER</t>
  </si>
  <si>
    <t>RAY BILLIE</t>
  </si>
  <si>
    <t>PENALTY FEE</t>
  </si>
  <si>
    <t>DELIVERY TIME.</t>
  </si>
  <si>
    <t>MORNING</t>
  </si>
  <si>
    <t>AFTERNOON</t>
  </si>
  <si>
    <t>STOCK MANAGEMENT</t>
  </si>
  <si>
    <t>TYPE</t>
  </si>
  <si>
    <t>ISSUED OUT</t>
  </si>
  <si>
    <t>Apple</t>
  </si>
  <si>
    <t>Sony</t>
  </si>
  <si>
    <t>Samsung</t>
  </si>
  <si>
    <t>Acer</t>
  </si>
  <si>
    <t>Lenovo</t>
  </si>
  <si>
    <t xml:space="preserve"> Asus</t>
  </si>
  <si>
    <t>Toshiba</t>
  </si>
  <si>
    <t xml:space="preserve"> Dell</t>
  </si>
  <si>
    <t>ALERT</t>
  </si>
  <si>
    <t>number of pc issued out</t>
  </si>
  <si>
    <t>LECTURE</t>
  </si>
  <si>
    <t>MANAGER</t>
  </si>
  <si>
    <t>ASSISTANT MANAGER 1</t>
  </si>
  <si>
    <t>ASSISTANT MANAGER 2</t>
  </si>
  <si>
    <t>ASSISTANT MANAGER 3</t>
  </si>
  <si>
    <t>ASSISTANT MANAGER 4</t>
  </si>
  <si>
    <t>MANAEGR</t>
  </si>
  <si>
    <t>NUMBER OF PC ISSUED</t>
  </si>
  <si>
    <t>TOTAL PC IN STOCK</t>
  </si>
  <si>
    <t xml:space="preserve">ELITE BOOK </t>
  </si>
  <si>
    <t>RESTRICTED TIME</t>
  </si>
  <si>
    <t xml:space="preserve"> ISSUED OUT </t>
  </si>
  <si>
    <t xml:space="preserve"> ISSUED IN</t>
  </si>
  <si>
    <t>STORES PERSONNEL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</si>
</sst>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h:mm;@"/>
    <numFmt numFmtId="166" formatCode="h:mm:ss;@"/>
  </numFmts>
  <fonts count="13">
    <font>
      <sz val="11"/>
      <color theme="1"/>
      <name val="Calibri"/>
      <family val="2"/>
      <scheme val="minor"/>
    </font>
    <font>
      <b/>
      <sz val="18"/>
      <color rgb="FF0070C0"/>
      <name val="Adobe Devanagari"/>
      <family val="1"/>
    </font>
    <font>
      <sz val="18"/>
      <color theme="1"/>
      <name val="Adobe Devanagari"/>
      <family val="1"/>
    </font>
    <font>
      <sz val="8"/>
      <name val="Calibri"/>
      <family val="2"/>
      <scheme val="minor"/>
    </font>
    <font>
      <b/>
      <sz val="20"/>
      <color theme="0"/>
      <name val="Adobe Devanagari"/>
      <family val="1"/>
    </font>
    <font>
      <b/>
      <sz val="24"/>
      <color theme="1"/>
      <name val="Adobe Devanagari"/>
      <family val="1"/>
    </font>
    <font>
      <sz val="12"/>
      <color theme="1"/>
      <name val="Adobe Devanagari"/>
      <family val="1"/>
    </font>
    <font>
      <b/>
      <sz val="12"/>
      <color theme="1"/>
      <name val="Adobe Devanagari"/>
      <family val="1"/>
    </font>
    <font>
      <b/>
      <sz val="28"/>
      <color theme="1"/>
      <name val="Adobe Devanagari"/>
      <family val="1"/>
    </font>
    <font>
      <b/>
      <sz val="26"/>
      <color theme="1"/>
      <name val="Adobe Devanagari"/>
      <family val="1"/>
    </font>
    <font>
      <b/>
      <sz val="2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0"/>
      <name val="Adobe Devanagari"/>
    </font>
  </fonts>
  <fills count="6">
    <fill>
      <patternFill patternType="none"/>
    </fill>
    <fill>
      <patternFill patternType="gray125"/>
    </fill>
    <fill>
      <patternFill patternType="solid">
        <fgColor rgb="FF0980D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756EFC"/>
        <bgColor indexed="64"/>
      </patternFill>
    </fill>
    <fill>
      <patternFill patternType="solid">
        <fgColor theme="8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980D1"/>
      </bottom>
      <diagonal/>
    </border>
    <border>
      <left style="slantDashDot">
        <color rgb="FF0980D1"/>
      </left>
      <right style="slantDashDot">
        <color rgb="FF0980D1"/>
      </right>
      <top style="slantDashDot">
        <color rgb="FF0980D1"/>
      </top>
      <bottom style="slantDashDot">
        <color rgb="FF0980D1"/>
      </bottom>
      <diagonal/>
    </border>
    <border>
      <left style="slantDashDot">
        <color rgb="FF0980D1"/>
      </left>
      <right/>
      <top style="slantDashDot">
        <color rgb="FF0980D1"/>
      </top>
      <bottom style="slantDashDot">
        <color rgb="FF0980D1"/>
      </bottom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3" borderId="0" xfId="0" applyFill="1" applyAlignment="1">
      <alignment horizontal="center"/>
    </xf>
    <xf numFmtId="0" fontId="0" fillId="0" borderId="0" xfId="0" applyBorder="1" applyAlignment="1">
      <alignment horizontal="center"/>
    </xf>
    <xf numFmtId="0" fontId="0" fillId="3" borderId="0" xfId="0" applyFill="1"/>
    <xf numFmtId="164" fontId="0" fillId="3" borderId="0" xfId="0" applyNumberFormat="1" applyFill="1"/>
    <xf numFmtId="0" fontId="0" fillId="4" borderId="0" xfId="0" applyFill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vertical="center"/>
    </xf>
    <xf numFmtId="0" fontId="0" fillId="4" borderId="4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4" xfId="0" applyNumberFormat="1" applyBorder="1" applyAlignment="1">
      <alignment horizontal="center"/>
    </xf>
    <xf numFmtId="20" fontId="0" fillId="0" borderId="4" xfId="0" applyNumberFormat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4" borderId="4" xfId="0" applyNumberForma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0" xfId="0" applyFill="1" applyBorder="1"/>
    <xf numFmtId="0" fontId="0" fillId="0" borderId="0" xfId="0" applyFill="1"/>
    <xf numFmtId="0" fontId="1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/>
    </xf>
    <xf numFmtId="0" fontId="0" fillId="4" borderId="0" xfId="0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1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756EFC"/>
      <color rgb="FF0980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STOCK!A1"/><Relationship Id="rId2" Type="http://schemas.openxmlformats.org/officeDocument/2006/relationships/hyperlink" Target="#'MANAGEMENT MODULE'!A1"/><Relationship Id="rId1" Type="http://schemas.openxmlformats.org/officeDocument/2006/relationships/hyperlink" Target="#DELIVERY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STOCK!A1"/><Relationship Id="rId2" Type="http://schemas.openxmlformats.org/officeDocument/2006/relationships/hyperlink" Target="#'MANAGEMENT MODULE'!A1"/><Relationship Id="rId1" Type="http://schemas.openxmlformats.org/officeDocument/2006/relationships/hyperlink" Target="#HOME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STOCK!A1"/><Relationship Id="rId2" Type="http://schemas.openxmlformats.org/officeDocument/2006/relationships/hyperlink" Target="#DELIVERY!A1"/><Relationship Id="rId1" Type="http://schemas.openxmlformats.org/officeDocument/2006/relationships/hyperlink" Target="#HOME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'MANAGEMENT MODULE'!A1"/><Relationship Id="rId2" Type="http://schemas.openxmlformats.org/officeDocument/2006/relationships/hyperlink" Target="#DELIVERY!A1"/><Relationship Id="rId1" Type="http://schemas.openxmlformats.org/officeDocument/2006/relationships/hyperlink" Target="#HOME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304800</xdr:colOff>
      <xdr:row>17</xdr:row>
      <xdr:rowOff>57150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A02354C-ECDA-46EE-BEF1-B7B72365CF70}"/>
            </a:ext>
          </a:extLst>
        </xdr:cNvPr>
        <xdr:cNvSpPr txBox="1"/>
      </xdr:nvSpPr>
      <xdr:spPr>
        <a:xfrm>
          <a:off x="304800" y="3295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7</xdr:col>
      <xdr:colOff>493712</xdr:colOff>
      <xdr:row>8</xdr:row>
      <xdr:rowOff>165101</xdr:rowOff>
    </xdr:from>
    <xdr:to>
      <xdr:col>13</xdr:col>
      <xdr:colOff>14287</xdr:colOff>
      <xdr:row>11</xdr:row>
      <xdr:rowOff>31751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908757-84CF-41F4-8129-00CED7AC6936}"/>
            </a:ext>
          </a:extLst>
        </xdr:cNvPr>
        <xdr:cNvSpPr/>
      </xdr:nvSpPr>
      <xdr:spPr>
        <a:xfrm>
          <a:off x="4760912" y="1943101"/>
          <a:ext cx="3190875" cy="438150"/>
        </a:xfrm>
        <a:prstGeom prst="roundRect">
          <a:avLst/>
        </a:prstGeom>
        <a:solidFill>
          <a:srgbClr val="0980D1"/>
        </a:solidFill>
        <a:ln w="2222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aseline="0">
              <a:latin typeface="Adobe Devanagari" panose="02040503050201020203" pitchFamily="18" charset="0"/>
              <a:cs typeface="Adobe Devanagari" panose="02040503050201020203" pitchFamily="18" charset="0"/>
            </a:rPr>
            <a:t>DELIVERY MODULE</a:t>
          </a:r>
          <a:endParaRPr lang="en-US" sz="2400">
            <a:latin typeface="Adobe Devanagari" panose="02040503050201020203" pitchFamily="18" charset="0"/>
            <a:cs typeface="Adobe Devanagari" panose="02040503050201020203" pitchFamily="18" charset="0"/>
          </a:endParaRPr>
        </a:p>
      </xdr:txBody>
    </xdr:sp>
    <xdr:clientData/>
  </xdr:twoCellAnchor>
  <xdr:twoCellAnchor>
    <xdr:from>
      <xdr:col>7</xdr:col>
      <xdr:colOff>519112</xdr:colOff>
      <xdr:row>15</xdr:row>
      <xdr:rowOff>3176</xdr:rowOff>
    </xdr:from>
    <xdr:to>
      <xdr:col>13</xdr:col>
      <xdr:colOff>39687</xdr:colOff>
      <xdr:row>17</xdr:row>
      <xdr:rowOff>60326</xdr:rowOff>
    </xdr:to>
    <xdr:sp macro="" textlink="">
      <xdr:nvSpPr>
        <xdr:cNvPr id="8" name="Rectangle: Rounded Corners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6487D8-A309-468F-998C-E3F6346B51C2}"/>
            </a:ext>
          </a:extLst>
        </xdr:cNvPr>
        <xdr:cNvSpPr/>
      </xdr:nvSpPr>
      <xdr:spPr>
        <a:xfrm>
          <a:off x="4786312" y="3114676"/>
          <a:ext cx="3190875" cy="438150"/>
        </a:xfrm>
        <a:prstGeom prst="roundRect">
          <a:avLst/>
        </a:prstGeom>
        <a:solidFill>
          <a:srgbClr val="0980D1"/>
        </a:solidFill>
        <a:ln w="2222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>
              <a:latin typeface="Adobe Devanagari" panose="02040503050201020203" pitchFamily="18" charset="0"/>
              <a:cs typeface="Adobe Devanagari" panose="02040503050201020203" pitchFamily="18" charset="0"/>
            </a:rPr>
            <a:t>INVENTORY</a:t>
          </a:r>
          <a:r>
            <a:rPr lang="en-US" sz="2000" baseline="0">
              <a:latin typeface="Adobe Devanagari" panose="02040503050201020203" pitchFamily="18" charset="0"/>
              <a:cs typeface="Adobe Devanagari" panose="02040503050201020203" pitchFamily="18" charset="0"/>
            </a:rPr>
            <a:t> MANEGEMENT MODULE</a:t>
          </a:r>
          <a:endParaRPr lang="en-US" sz="2000">
            <a:latin typeface="Adobe Devanagari" panose="02040503050201020203" pitchFamily="18" charset="0"/>
            <a:cs typeface="Adobe Devanagari" panose="02040503050201020203" pitchFamily="18" charset="0"/>
          </a:endParaRPr>
        </a:p>
      </xdr:txBody>
    </xdr:sp>
    <xdr:clientData/>
  </xdr:twoCellAnchor>
  <xdr:twoCellAnchor>
    <xdr:from>
      <xdr:col>7</xdr:col>
      <xdr:colOff>493712</xdr:colOff>
      <xdr:row>21</xdr:row>
      <xdr:rowOff>107951</xdr:rowOff>
    </xdr:from>
    <xdr:to>
      <xdr:col>13</xdr:col>
      <xdr:colOff>14287</xdr:colOff>
      <xdr:row>23</xdr:row>
      <xdr:rowOff>165101</xdr:rowOff>
    </xdr:to>
    <xdr:sp macro="" textlink="">
      <xdr:nvSpPr>
        <xdr:cNvPr id="9" name="Rectangle: Rounded Corner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9F9AAC6-0903-4880-ABC5-F1F48541668F}"/>
            </a:ext>
          </a:extLst>
        </xdr:cNvPr>
        <xdr:cNvSpPr/>
      </xdr:nvSpPr>
      <xdr:spPr>
        <a:xfrm>
          <a:off x="4760912" y="4362451"/>
          <a:ext cx="3190875" cy="438150"/>
        </a:xfrm>
        <a:prstGeom prst="roundRect">
          <a:avLst/>
        </a:prstGeom>
        <a:solidFill>
          <a:srgbClr val="0980D1"/>
        </a:solidFill>
        <a:ln w="2222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aseline="0">
              <a:latin typeface="Adobe Devanagari" panose="02040503050201020203" pitchFamily="18" charset="0"/>
              <a:cs typeface="Adobe Devanagari" panose="02040503050201020203" pitchFamily="18" charset="0"/>
            </a:rPr>
            <a:t>STOCK MANEGEMENT </a:t>
          </a:r>
          <a:endParaRPr lang="en-US" sz="2000">
            <a:latin typeface="Adobe Devanagari" panose="02040503050201020203" pitchFamily="18" charset="0"/>
            <a:cs typeface="Adobe Devanagari" panose="02040503050201020203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9</xdr:row>
      <xdr:rowOff>85725</xdr:rowOff>
    </xdr:from>
    <xdr:to>
      <xdr:col>3</xdr:col>
      <xdr:colOff>1400175</xdr:colOff>
      <xdr:row>11</xdr:row>
      <xdr:rowOff>142875</xdr:rowOff>
    </xdr:to>
    <xdr:sp macro="" textlink="">
      <xdr:nvSpPr>
        <xdr:cNvPr id="5" name="Rectangle: Rounded Corner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453A7C-3F21-46D8-AAB8-F93299556FD8}"/>
            </a:ext>
          </a:extLst>
        </xdr:cNvPr>
        <xdr:cNvSpPr/>
      </xdr:nvSpPr>
      <xdr:spPr>
        <a:xfrm>
          <a:off x="152400" y="1609725"/>
          <a:ext cx="2466975" cy="438150"/>
        </a:xfrm>
        <a:prstGeom prst="roundRect">
          <a:avLst/>
        </a:prstGeom>
        <a:solidFill>
          <a:srgbClr val="0980D1"/>
        </a:solidFill>
        <a:ln w="2222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aseline="0">
              <a:latin typeface="Adobe Devanagari" panose="02040503050201020203" pitchFamily="18" charset="0"/>
              <a:cs typeface="Adobe Devanagari" panose="02040503050201020203" pitchFamily="18" charset="0"/>
            </a:rPr>
            <a:t>MAIN MENU</a:t>
          </a:r>
          <a:endParaRPr lang="en-US" sz="1100">
            <a:latin typeface="Adobe Devanagari" panose="02040503050201020203" pitchFamily="18" charset="0"/>
            <a:cs typeface="Adobe Devanagari" panose="02040503050201020203" pitchFamily="18" charset="0"/>
          </a:endParaRPr>
        </a:p>
      </xdr:txBody>
    </xdr:sp>
    <xdr:clientData/>
  </xdr:twoCellAnchor>
  <xdr:twoCellAnchor>
    <xdr:from>
      <xdr:col>1</xdr:col>
      <xdr:colOff>152400</xdr:colOff>
      <xdr:row>12</xdr:row>
      <xdr:rowOff>38100</xdr:rowOff>
    </xdr:from>
    <xdr:to>
      <xdr:col>3</xdr:col>
      <xdr:colOff>1400175</xdr:colOff>
      <xdr:row>14</xdr:row>
      <xdr:rowOff>95250</xdr:rowOff>
    </xdr:to>
    <xdr:sp macro="" textlink="">
      <xdr:nvSpPr>
        <xdr:cNvPr id="6" name="Rectangle: Rounded Corner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50661EB-14DD-4896-BFE9-156D00B6A140}"/>
            </a:ext>
          </a:extLst>
        </xdr:cNvPr>
        <xdr:cNvSpPr/>
      </xdr:nvSpPr>
      <xdr:spPr>
        <a:xfrm>
          <a:off x="152400" y="2133600"/>
          <a:ext cx="2466975" cy="438150"/>
        </a:xfrm>
        <a:prstGeom prst="roundRect">
          <a:avLst/>
        </a:prstGeom>
        <a:solidFill>
          <a:srgbClr val="0980D1"/>
        </a:solidFill>
        <a:ln w="2222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aseline="0">
              <a:latin typeface="Adobe Devanagari" panose="02040503050201020203" pitchFamily="18" charset="0"/>
              <a:cs typeface="Adobe Devanagari" panose="02040503050201020203" pitchFamily="18" charset="0"/>
            </a:rPr>
            <a:t>MANEGEMENT MODULE</a:t>
          </a:r>
          <a:endParaRPr lang="en-US" sz="1100">
            <a:latin typeface="Adobe Devanagari" panose="02040503050201020203" pitchFamily="18" charset="0"/>
            <a:cs typeface="Adobe Devanagari" panose="02040503050201020203" pitchFamily="18" charset="0"/>
          </a:endParaRPr>
        </a:p>
      </xdr:txBody>
    </xdr:sp>
    <xdr:clientData/>
  </xdr:twoCellAnchor>
  <xdr:twoCellAnchor>
    <xdr:from>
      <xdr:col>1</xdr:col>
      <xdr:colOff>152400</xdr:colOff>
      <xdr:row>14</xdr:row>
      <xdr:rowOff>180975</xdr:rowOff>
    </xdr:from>
    <xdr:to>
      <xdr:col>3</xdr:col>
      <xdr:colOff>1400175</xdr:colOff>
      <xdr:row>17</xdr:row>
      <xdr:rowOff>47625</xdr:rowOff>
    </xdr:to>
    <xdr:sp macro="" textlink="">
      <xdr:nvSpPr>
        <xdr:cNvPr id="7" name="Rectangle: Rounded Corner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82F5BC2-4CD2-414F-80BD-BD2F8A80AEB5}"/>
            </a:ext>
          </a:extLst>
        </xdr:cNvPr>
        <xdr:cNvSpPr/>
      </xdr:nvSpPr>
      <xdr:spPr>
        <a:xfrm>
          <a:off x="152400" y="2657475"/>
          <a:ext cx="2466975" cy="438150"/>
        </a:xfrm>
        <a:prstGeom prst="roundRect">
          <a:avLst/>
        </a:prstGeom>
        <a:solidFill>
          <a:srgbClr val="0980D1"/>
        </a:solidFill>
        <a:ln w="2222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aseline="0">
              <a:latin typeface="Adobe Devanagari" panose="02040503050201020203" pitchFamily="18" charset="0"/>
              <a:cs typeface="Adobe Devanagari" panose="02040503050201020203" pitchFamily="18" charset="0"/>
            </a:rPr>
            <a:t>STOCK MANEGEMENT </a:t>
          </a:r>
          <a:endParaRPr lang="en-US" sz="1100">
            <a:latin typeface="Adobe Devanagari" panose="02040503050201020203" pitchFamily="18" charset="0"/>
            <a:cs typeface="Adobe Devanagari" panose="02040503050201020203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9</xdr:row>
      <xdr:rowOff>9525</xdr:rowOff>
    </xdr:from>
    <xdr:to>
      <xdr:col>2</xdr:col>
      <xdr:colOff>2066925</xdr:colOff>
      <xdr:row>11</xdr:row>
      <xdr:rowOff>66675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E3FB03-418A-4047-9D3B-55F4C532BAF8}"/>
            </a:ext>
          </a:extLst>
        </xdr:cNvPr>
        <xdr:cNvSpPr/>
      </xdr:nvSpPr>
      <xdr:spPr>
        <a:xfrm>
          <a:off x="209550" y="1533525"/>
          <a:ext cx="2466975" cy="438150"/>
        </a:xfrm>
        <a:prstGeom prst="roundRect">
          <a:avLst/>
        </a:prstGeom>
        <a:solidFill>
          <a:srgbClr val="0980D1"/>
        </a:solidFill>
        <a:ln w="2222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aseline="0">
              <a:latin typeface="Adobe Devanagari" panose="02040503050201020203" pitchFamily="18" charset="0"/>
              <a:cs typeface="Adobe Devanagari" panose="02040503050201020203" pitchFamily="18" charset="0"/>
            </a:rPr>
            <a:t>MAIN MENU</a:t>
          </a:r>
          <a:endParaRPr lang="en-US" sz="1100">
            <a:latin typeface="Adobe Devanagari" panose="02040503050201020203" pitchFamily="18" charset="0"/>
            <a:cs typeface="Adobe Devanagari" panose="02040503050201020203" pitchFamily="18" charset="0"/>
          </a:endParaRPr>
        </a:p>
      </xdr:txBody>
    </xdr:sp>
    <xdr:clientData/>
  </xdr:twoCellAnchor>
  <xdr:twoCellAnchor>
    <xdr:from>
      <xdr:col>1</xdr:col>
      <xdr:colOff>209550</xdr:colOff>
      <xdr:row>11</xdr:row>
      <xdr:rowOff>152400</xdr:rowOff>
    </xdr:from>
    <xdr:to>
      <xdr:col>2</xdr:col>
      <xdr:colOff>2066925</xdr:colOff>
      <xdr:row>14</xdr:row>
      <xdr:rowOff>19050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C50906D-3298-4562-9F81-F25579CC1B5A}"/>
            </a:ext>
          </a:extLst>
        </xdr:cNvPr>
        <xdr:cNvSpPr/>
      </xdr:nvSpPr>
      <xdr:spPr>
        <a:xfrm>
          <a:off x="209550" y="2057400"/>
          <a:ext cx="2466975" cy="438150"/>
        </a:xfrm>
        <a:prstGeom prst="roundRect">
          <a:avLst/>
        </a:prstGeom>
        <a:solidFill>
          <a:srgbClr val="0980D1"/>
        </a:solidFill>
        <a:ln w="2222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aseline="0">
              <a:latin typeface="Adobe Devanagari" panose="02040503050201020203" pitchFamily="18" charset="0"/>
              <a:cs typeface="Adobe Devanagari" panose="02040503050201020203" pitchFamily="18" charset="0"/>
            </a:rPr>
            <a:t>DELIVERY MODULE</a:t>
          </a:r>
          <a:endParaRPr lang="en-US" sz="1100">
            <a:latin typeface="Adobe Devanagari" panose="02040503050201020203" pitchFamily="18" charset="0"/>
            <a:cs typeface="Adobe Devanagari" panose="02040503050201020203" pitchFamily="18" charset="0"/>
          </a:endParaRPr>
        </a:p>
      </xdr:txBody>
    </xdr:sp>
    <xdr:clientData/>
  </xdr:twoCellAnchor>
  <xdr:twoCellAnchor>
    <xdr:from>
      <xdr:col>1</xdr:col>
      <xdr:colOff>209550</xdr:colOff>
      <xdr:row>14</xdr:row>
      <xdr:rowOff>104775</xdr:rowOff>
    </xdr:from>
    <xdr:to>
      <xdr:col>2</xdr:col>
      <xdr:colOff>2066925</xdr:colOff>
      <xdr:row>16</xdr:row>
      <xdr:rowOff>161925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2AC191E-229A-425F-BA3E-77242589DBFA}"/>
            </a:ext>
          </a:extLst>
        </xdr:cNvPr>
        <xdr:cNvSpPr/>
      </xdr:nvSpPr>
      <xdr:spPr>
        <a:xfrm>
          <a:off x="209550" y="2581275"/>
          <a:ext cx="2466975" cy="438150"/>
        </a:xfrm>
        <a:prstGeom prst="roundRect">
          <a:avLst/>
        </a:prstGeom>
        <a:solidFill>
          <a:srgbClr val="0980D1"/>
        </a:solidFill>
        <a:ln w="2222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aseline="0">
              <a:latin typeface="Adobe Devanagari" panose="02040503050201020203" pitchFamily="18" charset="0"/>
              <a:cs typeface="Adobe Devanagari" panose="02040503050201020203" pitchFamily="18" charset="0"/>
            </a:rPr>
            <a:t>STOCK MANEGEMENT </a:t>
          </a:r>
          <a:endParaRPr lang="en-US" sz="1100">
            <a:latin typeface="Adobe Devanagari" panose="02040503050201020203" pitchFamily="18" charset="0"/>
            <a:cs typeface="Adobe Devanagari" panose="02040503050201020203" pitchFamily="18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3</xdr:row>
      <xdr:rowOff>28575</xdr:rowOff>
    </xdr:from>
    <xdr:to>
      <xdr:col>2</xdr:col>
      <xdr:colOff>1952625</xdr:colOff>
      <xdr:row>5</xdr:row>
      <xdr:rowOff>85725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005E04-CA82-4335-A7C4-B15AA5561C2D}"/>
            </a:ext>
          </a:extLst>
        </xdr:cNvPr>
        <xdr:cNvSpPr/>
      </xdr:nvSpPr>
      <xdr:spPr>
        <a:xfrm>
          <a:off x="247650" y="600075"/>
          <a:ext cx="2466975" cy="438150"/>
        </a:xfrm>
        <a:prstGeom prst="roundRect">
          <a:avLst/>
        </a:prstGeom>
        <a:solidFill>
          <a:srgbClr val="0980D1"/>
        </a:solidFill>
        <a:ln w="2222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aseline="0">
              <a:latin typeface="Adobe Devanagari" panose="02040503050201020203" pitchFamily="18" charset="0"/>
              <a:cs typeface="Adobe Devanagari" panose="02040503050201020203" pitchFamily="18" charset="0"/>
            </a:rPr>
            <a:t>MAIN MENU</a:t>
          </a:r>
          <a:endParaRPr lang="en-US" sz="1100">
            <a:latin typeface="Adobe Devanagari" panose="02040503050201020203" pitchFamily="18" charset="0"/>
            <a:cs typeface="Adobe Devanagari" panose="02040503050201020203" pitchFamily="18" charset="0"/>
          </a:endParaRPr>
        </a:p>
      </xdr:txBody>
    </xdr:sp>
    <xdr:clientData/>
  </xdr:twoCellAnchor>
  <xdr:twoCellAnchor>
    <xdr:from>
      <xdr:col>1</xdr:col>
      <xdr:colOff>95250</xdr:colOff>
      <xdr:row>5</xdr:row>
      <xdr:rowOff>171450</xdr:rowOff>
    </xdr:from>
    <xdr:to>
      <xdr:col>2</xdr:col>
      <xdr:colOff>1952625</xdr:colOff>
      <xdr:row>8</xdr:row>
      <xdr:rowOff>38100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467EFBE-84DF-4C54-B9D9-104EB01B8F5F}"/>
            </a:ext>
          </a:extLst>
        </xdr:cNvPr>
        <xdr:cNvSpPr/>
      </xdr:nvSpPr>
      <xdr:spPr>
        <a:xfrm>
          <a:off x="247650" y="1123950"/>
          <a:ext cx="2466975" cy="438150"/>
        </a:xfrm>
        <a:prstGeom prst="roundRect">
          <a:avLst/>
        </a:prstGeom>
        <a:solidFill>
          <a:srgbClr val="0980D1"/>
        </a:solidFill>
        <a:ln w="2222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aseline="0">
              <a:latin typeface="Adobe Devanagari" panose="02040503050201020203" pitchFamily="18" charset="0"/>
              <a:cs typeface="Adobe Devanagari" panose="02040503050201020203" pitchFamily="18" charset="0"/>
            </a:rPr>
            <a:t>DELIVERY MODULE</a:t>
          </a:r>
          <a:endParaRPr lang="en-US" sz="1100">
            <a:latin typeface="Adobe Devanagari" panose="02040503050201020203" pitchFamily="18" charset="0"/>
            <a:cs typeface="Adobe Devanagari" panose="02040503050201020203" pitchFamily="18" charset="0"/>
          </a:endParaRPr>
        </a:p>
      </xdr:txBody>
    </xdr:sp>
    <xdr:clientData/>
  </xdr:twoCellAnchor>
  <xdr:twoCellAnchor>
    <xdr:from>
      <xdr:col>1</xdr:col>
      <xdr:colOff>95250</xdr:colOff>
      <xdr:row>8</xdr:row>
      <xdr:rowOff>123825</xdr:rowOff>
    </xdr:from>
    <xdr:to>
      <xdr:col>2</xdr:col>
      <xdr:colOff>1952625</xdr:colOff>
      <xdr:row>10</xdr:row>
      <xdr:rowOff>180975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5B00969-F1E6-413C-9EBC-A0411276143C}"/>
            </a:ext>
          </a:extLst>
        </xdr:cNvPr>
        <xdr:cNvSpPr/>
      </xdr:nvSpPr>
      <xdr:spPr>
        <a:xfrm>
          <a:off x="247650" y="1647825"/>
          <a:ext cx="2466975" cy="438150"/>
        </a:xfrm>
        <a:prstGeom prst="roundRect">
          <a:avLst/>
        </a:prstGeom>
        <a:solidFill>
          <a:srgbClr val="0980D1"/>
        </a:solidFill>
        <a:ln w="2222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aseline="0">
              <a:latin typeface="Adobe Devanagari" panose="02040503050201020203" pitchFamily="18" charset="0"/>
              <a:cs typeface="Adobe Devanagari" panose="02040503050201020203" pitchFamily="18" charset="0"/>
            </a:rPr>
            <a:t>MANEGEMENT MODULE </a:t>
          </a:r>
          <a:endParaRPr lang="en-US" sz="1100">
            <a:latin typeface="Adobe Devanagari" panose="02040503050201020203" pitchFamily="18" charset="0"/>
            <a:cs typeface="Adobe Devanagari" panose="02040503050201020203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468FE-57A4-4EA1-B9EF-36F3DF62F9B8}">
  <dimension ref="A1:U26"/>
  <sheetViews>
    <sheetView tabSelected="1" zoomScale="75" zoomScaleNormal="75" workbookViewId="0">
      <selection activeCell="A6" sqref="A6:U26"/>
    </sheetView>
  </sheetViews>
  <sheetFormatPr defaultRowHeight="15"/>
  <cols>
    <col min="10" max="10" width="9.28515625" customWidth="1"/>
  </cols>
  <sheetData>
    <row r="1" spans="1:21" ht="15" customHeight="1">
      <c r="A1" s="43" t="s">
        <v>65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</row>
    <row r="2" spans="1:21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</row>
    <row r="3" spans="1:21" ht="35.25" customHeight="1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</row>
    <row r="4" spans="1:21" ht="15" customHeight="1">
      <c r="A4" s="26" t="s">
        <v>0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</row>
    <row r="5" spans="1:21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</row>
    <row r="6" spans="1:21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</row>
    <row r="7" spans="1:21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</row>
    <row r="8" spans="1:21" ht="15" customHeight="1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</row>
    <row r="9" spans="1:21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</row>
    <row r="10" spans="1:21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</row>
    <row r="11" spans="1:21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</row>
    <row r="12" spans="1:21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</row>
    <row r="13" spans="1:21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</row>
    <row r="14" spans="1:21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</row>
    <row r="15" spans="1:21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</row>
    <row r="16" spans="1:21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</row>
    <row r="17" spans="1:21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</row>
    <row r="18" spans="1:21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</row>
    <row r="19" spans="1:21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</row>
    <row r="20" spans="1:21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</row>
    <row r="21" spans="1:2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</row>
    <row r="22" spans="1:21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</row>
    <row r="23" spans="1:21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</row>
    <row r="24" spans="1:21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</row>
    <row r="25" spans="1:21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</row>
    <row r="26" spans="1:21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</row>
  </sheetData>
  <mergeCells count="3">
    <mergeCell ref="A6:U26"/>
    <mergeCell ref="A1:U3"/>
    <mergeCell ref="A4:U5"/>
  </mergeCells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D2FA2-D185-4065-B049-9D80E84CB46B}">
  <dimension ref="A1:P25"/>
  <sheetViews>
    <sheetView zoomScaleNormal="100" workbookViewId="0"/>
  </sheetViews>
  <sheetFormatPr defaultRowHeight="15"/>
  <cols>
    <col min="1" max="1" width="3.140625" customWidth="1"/>
    <col min="4" max="4" width="23.28515625" customWidth="1"/>
    <col min="5" max="5" width="16.28515625" customWidth="1"/>
    <col min="6" max="6" width="17.28515625" customWidth="1"/>
    <col min="7" max="7" width="18.85546875" customWidth="1"/>
    <col min="8" max="8" width="21.42578125" customWidth="1"/>
    <col min="9" max="9" width="21.5703125" customWidth="1"/>
    <col min="10" max="10" width="25" customWidth="1"/>
    <col min="11" max="11" width="33.42578125" customWidth="1"/>
    <col min="12" max="12" width="26.5703125" customWidth="1"/>
    <col min="13" max="13" width="28.5703125" customWidth="1"/>
    <col min="14" max="14" width="29.5703125" customWidth="1"/>
    <col min="15" max="15" width="17.28515625" customWidth="1"/>
    <col min="16" max="16" width="3.42578125" customWidth="1"/>
  </cols>
  <sheetData>
    <row r="1" spans="1:16" ht="15" customHeight="1">
      <c r="A1" s="3"/>
      <c r="B1" s="28" t="s">
        <v>1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3"/>
    </row>
    <row r="2" spans="1:16" ht="25.5" customHeight="1">
      <c r="A2" s="3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3"/>
    </row>
    <row r="3" spans="1:16" ht="18" customHeight="1">
      <c r="A3" s="3"/>
      <c r="B3" s="32"/>
      <c r="C3" s="32"/>
      <c r="D3" s="32"/>
      <c r="E3" s="29" t="s">
        <v>2</v>
      </c>
      <c r="F3" s="29" t="s">
        <v>3</v>
      </c>
      <c r="G3" s="29" t="s">
        <v>5</v>
      </c>
      <c r="H3" s="29" t="s">
        <v>4</v>
      </c>
      <c r="I3" s="29" t="s">
        <v>6</v>
      </c>
      <c r="J3" s="29" t="s">
        <v>7</v>
      </c>
      <c r="K3" s="29" t="s">
        <v>8</v>
      </c>
      <c r="L3" s="30" t="s">
        <v>103</v>
      </c>
      <c r="M3" s="31"/>
      <c r="N3" s="29" t="s">
        <v>45</v>
      </c>
      <c r="O3" s="29" t="s">
        <v>9</v>
      </c>
      <c r="P3" s="3"/>
    </row>
    <row r="4" spans="1:16">
      <c r="A4" s="3"/>
      <c r="B4" s="32"/>
      <c r="C4" s="32"/>
      <c r="D4" s="32"/>
      <c r="E4" s="29"/>
      <c r="F4" s="29"/>
      <c r="G4" s="29"/>
      <c r="H4" s="29"/>
      <c r="I4" s="29"/>
      <c r="J4" s="29"/>
      <c r="K4" s="29"/>
      <c r="L4" s="5" t="s">
        <v>104</v>
      </c>
      <c r="M4" s="5" t="s">
        <v>105</v>
      </c>
      <c r="N4" s="29"/>
      <c r="O4" s="29"/>
      <c r="P4" s="3"/>
    </row>
    <row r="5" spans="1:16">
      <c r="A5" s="3"/>
      <c r="B5" s="32"/>
      <c r="C5" s="32"/>
      <c r="D5" s="32"/>
      <c r="E5" s="14">
        <v>1</v>
      </c>
      <c r="F5" s="14" t="s">
        <v>18</v>
      </c>
      <c r="G5" s="14">
        <v>2354890954</v>
      </c>
      <c r="H5" s="14" t="s">
        <v>128</v>
      </c>
      <c r="I5" s="14" t="s">
        <v>75</v>
      </c>
      <c r="J5" s="19" t="s">
        <v>87</v>
      </c>
      <c r="K5" s="15">
        <v>44116</v>
      </c>
      <c r="L5" s="20">
        <v>0.36736111111111108</v>
      </c>
      <c r="M5" s="14"/>
      <c r="N5" s="15">
        <f ca="1">TODAY()</f>
        <v>44522</v>
      </c>
      <c r="O5" s="19">
        <f t="shared" ref="O5:O22" ca="1" si="0">N5-K5</f>
        <v>406</v>
      </c>
      <c r="P5" s="3"/>
    </row>
    <row r="6" spans="1:16">
      <c r="A6" s="3"/>
      <c r="B6" s="32"/>
      <c r="C6" s="32"/>
      <c r="D6" s="32"/>
      <c r="E6" s="14">
        <v>2</v>
      </c>
      <c r="F6" s="14" t="s">
        <v>10</v>
      </c>
      <c r="G6" s="14">
        <v>5763256844</v>
      </c>
      <c r="H6" s="14" t="s">
        <v>33</v>
      </c>
      <c r="I6" s="14" t="s">
        <v>76</v>
      </c>
      <c r="J6" s="19" t="s">
        <v>91</v>
      </c>
      <c r="K6" s="15">
        <v>44137</v>
      </c>
      <c r="L6" s="20">
        <v>0.375</v>
      </c>
      <c r="M6" s="14"/>
      <c r="N6" s="15">
        <f t="shared" ref="N6:N24" ca="1" si="1">TODAY()</f>
        <v>44522</v>
      </c>
      <c r="O6" s="19">
        <f t="shared" ca="1" si="0"/>
        <v>385</v>
      </c>
      <c r="P6" s="3"/>
    </row>
    <row r="7" spans="1:16">
      <c r="A7" s="3"/>
      <c r="B7" s="32"/>
      <c r="C7" s="32"/>
      <c r="D7" s="32"/>
      <c r="E7" s="14">
        <v>3</v>
      </c>
      <c r="F7" s="14" t="s">
        <v>11</v>
      </c>
      <c r="G7" s="14">
        <v>3254697465</v>
      </c>
      <c r="H7" s="14" t="s">
        <v>34</v>
      </c>
      <c r="I7" s="14" t="s">
        <v>77</v>
      </c>
      <c r="J7" s="19" t="s">
        <v>90</v>
      </c>
      <c r="K7" s="15">
        <v>44167</v>
      </c>
      <c r="L7" s="20">
        <v>0.41666666666666702</v>
      </c>
      <c r="M7" s="14"/>
      <c r="N7" s="15">
        <f t="shared" ca="1" si="1"/>
        <v>44522</v>
      </c>
      <c r="O7" s="19">
        <f t="shared" ca="1" si="0"/>
        <v>355</v>
      </c>
      <c r="P7" s="3"/>
    </row>
    <row r="8" spans="1:16">
      <c r="A8" s="3"/>
      <c r="B8" s="32"/>
      <c r="C8" s="32"/>
      <c r="D8" s="32"/>
      <c r="E8" s="14">
        <v>4</v>
      </c>
      <c r="F8" s="14" t="s">
        <v>18</v>
      </c>
      <c r="G8" s="14">
        <v>6987412350</v>
      </c>
      <c r="H8" s="14" t="s">
        <v>23</v>
      </c>
      <c r="I8" s="14" t="s">
        <v>78</v>
      </c>
      <c r="J8" s="19" t="s">
        <v>87</v>
      </c>
      <c r="K8" s="15">
        <v>43864</v>
      </c>
      <c r="L8" s="20"/>
      <c r="M8" s="20">
        <v>0.59652777777777777</v>
      </c>
      <c r="N8" s="15">
        <f t="shared" ca="1" si="1"/>
        <v>44522</v>
      </c>
      <c r="O8" s="19">
        <f t="shared" ca="1" si="0"/>
        <v>658</v>
      </c>
      <c r="P8" s="3"/>
    </row>
    <row r="9" spans="1:16">
      <c r="A9" s="3"/>
      <c r="B9" s="32"/>
      <c r="C9" s="32"/>
      <c r="D9" s="32"/>
      <c r="E9" s="14">
        <v>5</v>
      </c>
      <c r="F9" s="14" t="s">
        <v>10</v>
      </c>
      <c r="G9" s="14">
        <v>3204683468</v>
      </c>
      <c r="H9" s="14" t="s">
        <v>35</v>
      </c>
      <c r="I9" s="14" t="s">
        <v>73</v>
      </c>
      <c r="J9" s="19" t="s">
        <v>87</v>
      </c>
      <c r="K9" s="15">
        <v>43991</v>
      </c>
      <c r="L9" s="20"/>
      <c r="M9" s="20">
        <v>0.70138888888888884</v>
      </c>
      <c r="N9" s="15">
        <f t="shared" ca="1" si="1"/>
        <v>44522</v>
      </c>
      <c r="O9" s="19">
        <f t="shared" ca="1" si="0"/>
        <v>531</v>
      </c>
      <c r="P9" s="3"/>
    </row>
    <row r="10" spans="1:16">
      <c r="A10" s="3"/>
      <c r="B10" s="32"/>
      <c r="C10" s="32"/>
      <c r="D10" s="32"/>
      <c r="E10" s="14">
        <v>6</v>
      </c>
      <c r="F10" s="14" t="s">
        <v>13</v>
      </c>
      <c r="G10" s="14">
        <v>9046523145</v>
      </c>
      <c r="H10" s="14" t="s">
        <v>36</v>
      </c>
      <c r="I10" s="14" t="s">
        <v>79</v>
      </c>
      <c r="J10" s="19" t="s">
        <v>91</v>
      </c>
      <c r="K10" s="15">
        <v>43928</v>
      </c>
      <c r="L10" s="20">
        <v>0.50694444444444442</v>
      </c>
      <c r="M10" s="14"/>
      <c r="N10" s="15">
        <f t="shared" ca="1" si="1"/>
        <v>44522</v>
      </c>
      <c r="O10" s="19">
        <f t="shared" ca="1" si="0"/>
        <v>594</v>
      </c>
      <c r="P10" s="3"/>
    </row>
    <row r="11" spans="1:16">
      <c r="A11" s="3"/>
      <c r="B11" s="32"/>
      <c r="C11" s="32"/>
      <c r="D11" s="32"/>
      <c r="E11" s="14">
        <v>7</v>
      </c>
      <c r="F11" s="14" t="s">
        <v>11</v>
      </c>
      <c r="G11" s="14">
        <v>6045896430</v>
      </c>
      <c r="H11" s="14" t="s">
        <v>37</v>
      </c>
      <c r="I11" s="14" t="s">
        <v>80</v>
      </c>
      <c r="J11" s="19" t="s">
        <v>88</v>
      </c>
      <c r="K11" s="15">
        <v>44169</v>
      </c>
      <c r="L11" s="20"/>
      <c r="M11" s="20">
        <v>0.63124999999999998</v>
      </c>
      <c r="N11" s="15">
        <f t="shared" ca="1" si="1"/>
        <v>44522</v>
      </c>
      <c r="O11" s="19">
        <f t="shared" ca="1" si="0"/>
        <v>353</v>
      </c>
      <c r="P11" s="3"/>
    </row>
    <row r="12" spans="1:16">
      <c r="A12" s="3"/>
      <c r="B12" s="32"/>
      <c r="C12" s="32"/>
      <c r="D12" s="32"/>
      <c r="E12" s="14">
        <v>8</v>
      </c>
      <c r="F12" s="14" t="s">
        <v>14</v>
      </c>
      <c r="G12" s="14">
        <v>3000005486</v>
      </c>
      <c r="H12" s="14" t="s">
        <v>21</v>
      </c>
      <c r="I12" s="14" t="s">
        <v>72</v>
      </c>
      <c r="J12" s="19" t="s">
        <v>88</v>
      </c>
      <c r="K12" s="15">
        <v>44140</v>
      </c>
      <c r="L12" s="20">
        <v>0.38125000000000003</v>
      </c>
      <c r="M12" s="14"/>
      <c r="N12" s="15">
        <f t="shared" ca="1" si="1"/>
        <v>44522</v>
      </c>
      <c r="O12" s="19">
        <f t="shared" ca="1" si="0"/>
        <v>382</v>
      </c>
      <c r="P12" s="3"/>
    </row>
    <row r="13" spans="1:16">
      <c r="A13" s="3"/>
      <c r="B13" s="32"/>
      <c r="C13" s="32"/>
      <c r="D13" s="32"/>
      <c r="E13" s="14">
        <v>9</v>
      </c>
      <c r="F13" s="14" t="s">
        <v>15</v>
      </c>
      <c r="G13" s="14">
        <v>9873005410</v>
      </c>
      <c r="H13" s="14" t="s">
        <v>32</v>
      </c>
      <c r="I13" s="14" t="s">
        <v>81</v>
      </c>
      <c r="J13" s="19" t="s">
        <v>89</v>
      </c>
      <c r="K13" s="15">
        <v>44025</v>
      </c>
      <c r="L13" s="20">
        <v>0.49305555555555558</v>
      </c>
      <c r="M13" s="14"/>
      <c r="N13" s="15">
        <f t="shared" ca="1" si="1"/>
        <v>44522</v>
      </c>
      <c r="O13" s="19">
        <f t="shared" ca="1" si="0"/>
        <v>497</v>
      </c>
      <c r="P13" s="3"/>
    </row>
    <row r="14" spans="1:16">
      <c r="A14" s="3"/>
      <c r="B14" s="32"/>
      <c r="C14" s="32"/>
      <c r="D14" s="32"/>
      <c r="E14" s="14">
        <v>10</v>
      </c>
      <c r="F14" s="14" t="s">
        <v>16</v>
      </c>
      <c r="G14" s="14">
        <v>6974521001</v>
      </c>
      <c r="H14" s="14" t="s">
        <v>20</v>
      </c>
      <c r="I14" s="14" t="s">
        <v>74</v>
      </c>
      <c r="J14" s="19" t="s">
        <v>88</v>
      </c>
      <c r="K14" s="15">
        <v>44041</v>
      </c>
      <c r="L14" s="20">
        <v>0.5083333333333333</v>
      </c>
      <c r="M14" s="14"/>
      <c r="N14" s="15">
        <f t="shared" ca="1" si="1"/>
        <v>44522</v>
      </c>
      <c r="O14" s="19">
        <f t="shared" ca="1" si="0"/>
        <v>481</v>
      </c>
      <c r="P14" s="3"/>
    </row>
    <row r="15" spans="1:16">
      <c r="A15" s="3"/>
      <c r="B15" s="32"/>
      <c r="C15" s="32"/>
      <c r="D15" s="32"/>
      <c r="E15" s="14">
        <v>11</v>
      </c>
      <c r="F15" s="14" t="s">
        <v>16</v>
      </c>
      <c r="G15" s="14">
        <v>2145369854</v>
      </c>
      <c r="H15" s="14" t="s">
        <v>22</v>
      </c>
      <c r="I15" s="14" t="s">
        <v>70</v>
      </c>
      <c r="J15" s="19" t="s">
        <v>91</v>
      </c>
      <c r="K15" s="15">
        <v>44053</v>
      </c>
      <c r="L15" s="20"/>
      <c r="M15" s="20">
        <v>0.7006944444444444</v>
      </c>
      <c r="N15" s="15">
        <f t="shared" ca="1" si="1"/>
        <v>44522</v>
      </c>
      <c r="O15" s="19">
        <f t="shared" ca="1" si="0"/>
        <v>469</v>
      </c>
      <c r="P15" s="3"/>
    </row>
    <row r="16" spans="1:16">
      <c r="A16" s="3"/>
      <c r="B16" s="32"/>
      <c r="C16" s="32"/>
      <c r="D16" s="32"/>
      <c r="E16" s="14">
        <v>12</v>
      </c>
      <c r="F16" s="14" t="s">
        <v>17</v>
      </c>
      <c r="G16" s="14">
        <v>7458636985</v>
      </c>
      <c r="H16" s="14" t="s">
        <v>31</v>
      </c>
      <c r="I16" s="14" t="s">
        <v>67</v>
      </c>
      <c r="J16" s="19" t="s">
        <v>91</v>
      </c>
      <c r="K16" s="15">
        <v>44104</v>
      </c>
      <c r="L16" s="20"/>
      <c r="M16" s="20">
        <v>0.58472222222222225</v>
      </c>
      <c r="N16" s="15">
        <f t="shared" ca="1" si="1"/>
        <v>44522</v>
      </c>
      <c r="O16" s="19">
        <f t="shared" ca="1" si="0"/>
        <v>418</v>
      </c>
      <c r="P16" s="3"/>
    </row>
    <row r="17" spans="1:16">
      <c r="A17" s="3"/>
      <c r="B17" s="32"/>
      <c r="C17" s="32"/>
      <c r="D17" s="32"/>
      <c r="E17" s="14">
        <v>13</v>
      </c>
      <c r="F17" s="14" t="s">
        <v>11</v>
      </c>
      <c r="G17" s="14">
        <v>2254001250</v>
      </c>
      <c r="H17" s="14" t="s">
        <v>28</v>
      </c>
      <c r="I17" s="14" t="s">
        <v>69</v>
      </c>
      <c r="J17" s="19" t="s">
        <v>87</v>
      </c>
      <c r="K17" s="15">
        <v>44096</v>
      </c>
      <c r="L17" s="20"/>
      <c r="M17" s="20">
        <v>0.61041666666666672</v>
      </c>
      <c r="N17" s="15">
        <f t="shared" ca="1" si="1"/>
        <v>44522</v>
      </c>
      <c r="O17" s="19">
        <f t="shared" ca="1" si="0"/>
        <v>426</v>
      </c>
      <c r="P17" s="3"/>
    </row>
    <row r="18" spans="1:16">
      <c r="A18" s="3"/>
      <c r="B18" s="32"/>
      <c r="C18" s="32"/>
      <c r="D18" s="32"/>
      <c r="E18" s="14">
        <v>14</v>
      </c>
      <c r="F18" s="14" t="s">
        <v>13</v>
      </c>
      <c r="G18" s="14">
        <v>3354669871</v>
      </c>
      <c r="H18" s="14" t="s">
        <v>29</v>
      </c>
      <c r="I18" s="14" t="s">
        <v>71</v>
      </c>
      <c r="J18" s="19" t="s">
        <v>91</v>
      </c>
      <c r="K18" s="15">
        <v>43874</v>
      </c>
      <c r="L18" s="20"/>
      <c r="M18" s="20">
        <v>0.68263888888888891</v>
      </c>
      <c r="N18" s="15">
        <f t="shared" ca="1" si="1"/>
        <v>44522</v>
      </c>
      <c r="O18" s="19">
        <f t="shared" ca="1" si="0"/>
        <v>648</v>
      </c>
      <c r="P18" s="3"/>
    </row>
    <row r="19" spans="1:16">
      <c r="A19" s="3"/>
      <c r="B19" s="32"/>
      <c r="C19" s="32"/>
      <c r="D19" s="32"/>
      <c r="E19" s="14">
        <v>15</v>
      </c>
      <c r="F19" s="14" t="s">
        <v>14</v>
      </c>
      <c r="G19" s="14">
        <v>2541133665</v>
      </c>
      <c r="H19" s="14" t="s">
        <v>24</v>
      </c>
      <c r="I19" s="14" t="s">
        <v>68</v>
      </c>
      <c r="J19" s="19" t="s">
        <v>90</v>
      </c>
      <c r="K19" s="15">
        <v>43997</v>
      </c>
      <c r="L19" s="20">
        <v>0.40972222222222227</v>
      </c>
      <c r="M19" s="14"/>
      <c r="N19" s="15">
        <f t="shared" ca="1" si="1"/>
        <v>44522</v>
      </c>
      <c r="O19" s="19">
        <f t="shared" ca="1" si="0"/>
        <v>525</v>
      </c>
      <c r="P19" s="3"/>
    </row>
    <row r="20" spans="1:16">
      <c r="A20" s="3"/>
      <c r="B20" s="32"/>
      <c r="C20" s="32"/>
      <c r="D20" s="32"/>
      <c r="E20" s="14">
        <v>16</v>
      </c>
      <c r="F20" s="14" t="s">
        <v>10</v>
      </c>
      <c r="G20" s="14">
        <v>1478556660</v>
      </c>
      <c r="H20" s="14" t="s">
        <v>25</v>
      </c>
      <c r="I20" s="14" t="s">
        <v>82</v>
      </c>
      <c r="J20" s="19" t="s">
        <v>90</v>
      </c>
      <c r="K20" s="15">
        <v>43936</v>
      </c>
      <c r="L20" s="20"/>
      <c r="M20" s="20">
        <v>0.6479166666666667</v>
      </c>
      <c r="N20" s="15">
        <f t="shared" ca="1" si="1"/>
        <v>44522</v>
      </c>
      <c r="O20" s="19">
        <f t="shared" ca="1" si="0"/>
        <v>586</v>
      </c>
      <c r="P20" s="3"/>
    </row>
    <row r="21" spans="1:16">
      <c r="A21" s="3"/>
      <c r="B21" s="32"/>
      <c r="C21" s="32"/>
      <c r="D21" s="32"/>
      <c r="E21" s="14">
        <v>17</v>
      </c>
      <c r="F21" s="14" t="s">
        <v>15</v>
      </c>
      <c r="G21" s="14">
        <v>4478999990</v>
      </c>
      <c r="H21" s="14" t="s">
        <v>26</v>
      </c>
      <c r="I21" s="14" t="s">
        <v>83</v>
      </c>
      <c r="J21" s="19" t="s">
        <v>87</v>
      </c>
      <c r="K21" s="15">
        <v>44151</v>
      </c>
      <c r="L21" s="20"/>
      <c r="M21" s="20">
        <v>0.63541666666666663</v>
      </c>
      <c r="N21" s="15">
        <f t="shared" ca="1" si="1"/>
        <v>44522</v>
      </c>
      <c r="O21" s="19">
        <f t="shared" ca="1" si="0"/>
        <v>371</v>
      </c>
      <c r="P21" s="3"/>
    </row>
    <row r="22" spans="1:16">
      <c r="A22" s="3"/>
      <c r="B22" s="32"/>
      <c r="C22" s="32"/>
      <c r="D22" s="32"/>
      <c r="E22" s="14">
        <v>18</v>
      </c>
      <c r="F22" s="14" t="s">
        <v>17</v>
      </c>
      <c r="G22" s="14">
        <v>6950000003</v>
      </c>
      <c r="H22" s="14" t="s">
        <v>19</v>
      </c>
      <c r="I22" s="14" t="s">
        <v>84</v>
      </c>
      <c r="J22" s="19" t="s">
        <v>89</v>
      </c>
      <c r="K22" s="15">
        <v>44152</v>
      </c>
      <c r="L22" s="20">
        <v>0.42708333333333331</v>
      </c>
      <c r="M22" s="14"/>
      <c r="N22" s="15">
        <f t="shared" ca="1" si="1"/>
        <v>44522</v>
      </c>
      <c r="O22" s="19">
        <f t="shared" ca="1" si="0"/>
        <v>370</v>
      </c>
      <c r="P22" s="3"/>
    </row>
    <row r="23" spans="1:16">
      <c r="A23" s="3"/>
      <c r="B23" s="32"/>
      <c r="C23" s="32"/>
      <c r="D23" s="32"/>
      <c r="E23" s="14">
        <v>19</v>
      </c>
      <c r="F23" s="14" t="s">
        <v>12</v>
      </c>
      <c r="G23" s="14">
        <v>9654412530</v>
      </c>
      <c r="H23" s="14" t="s">
        <v>27</v>
      </c>
      <c r="I23" s="14" t="s">
        <v>85</v>
      </c>
      <c r="J23" s="19" t="s">
        <v>89</v>
      </c>
      <c r="K23" s="15">
        <v>44153</v>
      </c>
      <c r="L23" s="20"/>
      <c r="M23" s="20">
        <v>0.66875000000000007</v>
      </c>
      <c r="N23" s="15">
        <f t="shared" ca="1" si="1"/>
        <v>44522</v>
      </c>
      <c r="O23" s="19">
        <f ca="1">TODAY()-K23</f>
        <v>369</v>
      </c>
      <c r="P23" s="3"/>
    </row>
    <row r="24" spans="1:16">
      <c r="A24" s="3"/>
      <c r="B24" s="32"/>
      <c r="C24" s="32"/>
      <c r="D24" s="32"/>
      <c r="E24" s="14">
        <v>20</v>
      </c>
      <c r="F24" s="14" t="s">
        <v>18</v>
      </c>
      <c r="G24" s="14">
        <v>2103654900</v>
      </c>
      <c r="H24" s="14" t="s">
        <v>30</v>
      </c>
      <c r="I24" s="14" t="s">
        <v>86</v>
      </c>
      <c r="J24" s="19" t="s">
        <v>90</v>
      </c>
      <c r="K24" s="15">
        <v>43909</v>
      </c>
      <c r="L24" s="20"/>
      <c r="M24" s="20">
        <v>0.59583333333333333</v>
      </c>
      <c r="N24" s="15">
        <f t="shared" ca="1" si="1"/>
        <v>44522</v>
      </c>
      <c r="O24" s="19">
        <f ca="1">TODAY()-K24</f>
        <v>613</v>
      </c>
      <c r="P24" s="3"/>
    </row>
    <row r="25" spans="1:16">
      <c r="A25" s="3"/>
      <c r="B25" s="3"/>
      <c r="C25" s="3"/>
      <c r="D25" s="3"/>
      <c r="E25" s="3"/>
      <c r="F25" s="3"/>
      <c r="G25" s="3"/>
      <c r="H25" s="1"/>
      <c r="I25" s="3"/>
      <c r="J25" s="3"/>
      <c r="K25" s="4"/>
      <c r="L25" s="3"/>
      <c r="M25" s="3"/>
      <c r="N25" s="3"/>
      <c r="O25" s="3"/>
      <c r="P25" s="3"/>
    </row>
  </sheetData>
  <mergeCells count="12">
    <mergeCell ref="B1:O2"/>
    <mergeCell ref="I3:I4"/>
    <mergeCell ref="J3:J4"/>
    <mergeCell ref="K3:K4"/>
    <mergeCell ref="L3:M3"/>
    <mergeCell ref="N3:N4"/>
    <mergeCell ref="O3:O4"/>
    <mergeCell ref="H3:H4"/>
    <mergeCell ref="G3:G4"/>
    <mergeCell ref="F3:F4"/>
    <mergeCell ref="E3:E4"/>
    <mergeCell ref="B3:D24"/>
  </mergeCells>
  <phoneticPr fontId="3" type="noConversion"/>
  <dataValidations count="4">
    <dataValidation type="list" allowBlank="1" showInputMessage="1" showErrorMessage="1" sqref="J5:J24" xr:uid="{B4A60F8D-D6D2-4586-9054-B7BC63466BAF}">
      <formula1>"SAMUEL DAVIES, JOE LYNDON, NATASHA BENUIRE, RACHEAL KENHOOD, MELISA ARTHERWAY"</formula1>
    </dataValidation>
    <dataValidation type="textLength" operator="equal" showInputMessage="1" showErrorMessage="1" errorTitle="INVALID INPUT!!!" error="Serial NO should have 10 digits." promptTitle="Serial NO" prompt="Enter a serial number of 10 digits" sqref="G5:G24" xr:uid="{3A9372C8-8F0D-483C-B356-15740B8EB7F9}">
      <formula1>10</formula1>
    </dataValidation>
    <dataValidation type="time" errorStyle="warning" allowBlank="1" showInputMessage="1" showErrorMessage="1" errorTitle="TIME OUT!!!" error="No over time allowed." promptTitle="TIME" prompt="Evening work hours range from 14:00 - 17:00" sqref="M5:M24" xr:uid="{35DF2C19-C9B4-4C68-8B81-C2D8EF69E6FB}">
      <formula1>0.583333333333333</formula1>
      <formula2>0.708333333333333</formula2>
    </dataValidation>
    <dataValidation type="time" errorStyle="information" allowBlank="1" showInputMessage="1" showErrorMessage="1" errorTitle="TIME OUT!!" error="Hours range from 08:00 - 12:30" promptTitle="time " prompt="Morning work hours range from 08:00 - 12:30" sqref="L5:L24" xr:uid="{A50D4E8C-58A2-4275-8FF8-8544837D4158}">
      <formula1>0.333333333333333</formula1>
      <formula2>0.520833333333333</formula2>
    </dataValidation>
  </dataValidations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BB0EA-8A08-470D-8693-EAC72295D457}">
  <dimension ref="A1:AA48"/>
  <sheetViews>
    <sheetView zoomScale="98" zoomScaleNormal="98" workbookViewId="0"/>
  </sheetViews>
  <sheetFormatPr defaultRowHeight="15"/>
  <cols>
    <col min="1" max="1" width="4.42578125" customWidth="1"/>
    <col min="3" max="3" width="33.42578125" customWidth="1"/>
    <col min="4" max="4" width="9.140625" customWidth="1"/>
    <col min="5" max="5" width="13" customWidth="1"/>
    <col min="6" max="6" width="19.42578125" customWidth="1"/>
    <col min="7" max="8" width="27.85546875" customWidth="1"/>
    <col min="9" max="9" width="21.28515625" customWidth="1"/>
    <col min="10" max="10" width="28" customWidth="1"/>
    <col min="11" max="11" width="29.140625" customWidth="1"/>
    <col min="12" max="12" width="19.7109375" customWidth="1"/>
    <col min="13" max="13" width="15.85546875" customWidth="1"/>
    <col min="14" max="14" width="26" customWidth="1"/>
    <col min="15" max="15" width="19.140625" customWidth="1"/>
    <col min="16" max="16" width="17" customWidth="1"/>
    <col min="17" max="17" width="16.28515625" customWidth="1"/>
    <col min="18" max="18" width="4" customWidth="1"/>
    <col min="20" max="20" width="14.85546875" customWidth="1"/>
    <col min="21" max="21" width="4.42578125" customWidth="1"/>
    <col min="22" max="22" width="25.140625" customWidth="1"/>
    <col min="23" max="23" width="26.140625" customWidth="1"/>
    <col min="24" max="24" width="4.5703125" customWidth="1"/>
    <col min="25" max="25" width="25.85546875" customWidth="1"/>
    <col min="26" max="26" width="26.140625" customWidth="1"/>
    <col min="27" max="27" width="4.5703125" customWidth="1"/>
    <col min="28" max="28" width="26.28515625" customWidth="1"/>
    <col min="29" max="29" width="12.85546875" customWidth="1"/>
    <col min="30" max="30" width="29.42578125" customWidth="1"/>
    <col min="31" max="31" width="22.42578125" customWidth="1"/>
  </cols>
  <sheetData>
    <row r="1" spans="1:27" ht="15" customHeight="1">
      <c r="A1" s="3"/>
      <c r="B1" s="37" t="s">
        <v>40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"/>
    </row>
    <row r="2" spans="1:27" ht="22.5" customHeight="1">
      <c r="A2" s="3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"/>
    </row>
    <row r="3" spans="1:27" ht="22.5" customHeight="1">
      <c r="A3" s="3"/>
      <c r="B3" s="35"/>
      <c r="C3" s="35"/>
      <c r="D3" s="29" t="s">
        <v>2</v>
      </c>
      <c r="E3" s="29" t="s">
        <v>3</v>
      </c>
      <c r="F3" s="29" t="s">
        <v>5</v>
      </c>
      <c r="G3" s="29" t="s">
        <v>4</v>
      </c>
      <c r="H3" s="34" t="s">
        <v>132</v>
      </c>
      <c r="I3" s="34" t="s">
        <v>39</v>
      </c>
      <c r="J3" s="29" t="s">
        <v>42</v>
      </c>
      <c r="K3" s="29" t="s">
        <v>41</v>
      </c>
      <c r="L3" s="36" t="s">
        <v>129</v>
      </c>
      <c r="M3" s="36"/>
      <c r="N3" s="29" t="s">
        <v>38</v>
      </c>
      <c r="O3" s="29" t="s">
        <v>46</v>
      </c>
      <c r="P3" s="34" t="s">
        <v>64</v>
      </c>
      <c r="Q3" s="34" t="s">
        <v>102</v>
      </c>
      <c r="R3" s="3"/>
      <c r="U3" s="3"/>
      <c r="V3" s="33" t="s">
        <v>117</v>
      </c>
      <c r="W3" s="33"/>
      <c r="X3" s="33"/>
      <c r="Y3" s="33"/>
      <c r="Z3" s="33"/>
      <c r="AA3" s="3"/>
    </row>
    <row r="4" spans="1:27" ht="15" customHeight="1">
      <c r="A4" s="3"/>
      <c r="B4" s="35"/>
      <c r="C4" s="35"/>
      <c r="D4" s="34"/>
      <c r="E4" s="34"/>
      <c r="F4" s="34"/>
      <c r="G4" s="34"/>
      <c r="H4" s="34"/>
      <c r="I4" s="34"/>
      <c r="J4" s="34"/>
      <c r="K4" s="34"/>
      <c r="L4" s="5" t="s">
        <v>130</v>
      </c>
      <c r="M4" s="10" t="s">
        <v>131</v>
      </c>
      <c r="N4" s="29"/>
      <c r="O4" s="34"/>
      <c r="P4" s="34"/>
      <c r="Q4" s="34"/>
      <c r="R4" s="3"/>
      <c r="U4" s="23"/>
      <c r="V4" s="33"/>
      <c r="W4" s="33"/>
      <c r="X4" s="33"/>
      <c r="Y4" s="33"/>
      <c r="Z4" s="33"/>
      <c r="AA4" s="3"/>
    </row>
    <row r="5" spans="1:27" ht="15" customHeight="1">
      <c r="A5" s="3"/>
      <c r="B5" s="35"/>
      <c r="C5" s="35"/>
      <c r="D5" s="14">
        <f>DELIVERY!E5</f>
        <v>1</v>
      </c>
      <c r="E5" s="14" t="str">
        <f>DELIVERY!F5</f>
        <v>HP</v>
      </c>
      <c r="F5" s="14">
        <f>DELIVERY!G5</f>
        <v>2354890954</v>
      </c>
      <c r="G5" s="14" t="str">
        <f>DELIVERY!H5</f>
        <v xml:space="preserve">ELITE BOOK </v>
      </c>
      <c r="H5" s="14" t="s">
        <v>120</v>
      </c>
      <c r="I5" s="14" t="s">
        <v>98</v>
      </c>
      <c r="J5" s="15" t="s">
        <v>43</v>
      </c>
      <c r="K5" s="15">
        <v>44109</v>
      </c>
      <c r="L5" s="16">
        <v>0.33333333333333331</v>
      </c>
      <c r="M5" s="16">
        <v>0.70763888888888893</v>
      </c>
      <c r="N5" s="14" t="str">
        <f>IF(AND(E5="HP", STOCK!$G$4 &gt;0), "AVAILABLE", IF(AND(E5="DELL", STOCK!$G$5 &gt;0), "AVAILABLE", IF(AND(E5="TOSHIBA", STOCK!$G$6 &gt;0), "AVAILABLE",IF(AND(E5="ASUS", STOCK!$G$7 &gt;0), "AVAILABLE", IF(AND(E5="LENOVO", STOCK!$G$8 &gt;0), "AVAILABLE",IF(AND(E5="ACER", STOCK!$G$9 &gt;0), "AVAILABLE",IF(AND(E5="SAMSUNG", STOCK!$G$10 &gt;0), "AVAILABLE",IF(AND(E5="SONY", STOCK!$G$11 &gt;0), "AVAILABLE", IF(AND(E5="APPLE", STOCK!$G$12 &gt;0), "AVAILABLE", "NOT AVAILABLE")))))))))</f>
        <v>NOT AVAILABLE</v>
      </c>
      <c r="O5" s="17">
        <f t="shared" ref="O5:O24" si="0">M5-L5</f>
        <v>0.37430555555555561</v>
      </c>
      <c r="P5" s="14" t="str">
        <f>IF(O5&gt;TIME(8,0,0),"PENALTY","NO PENALTY")</f>
        <v>PENALTY</v>
      </c>
      <c r="Q5" s="18" t="str">
        <f t="shared" ref="Q5:Q24" si="1">IF(P5= "PENALTY",IF(E5="Apple","K200","K100"),"k0")</f>
        <v>K100</v>
      </c>
      <c r="R5" s="3"/>
      <c r="U5" s="23"/>
      <c r="V5" s="22" t="s">
        <v>119</v>
      </c>
      <c r="W5" s="13" t="s">
        <v>118</v>
      </c>
      <c r="X5" s="3"/>
      <c r="Y5" s="13" t="s">
        <v>132</v>
      </c>
      <c r="Z5" s="13" t="s">
        <v>126</v>
      </c>
      <c r="AA5" s="3"/>
    </row>
    <row r="6" spans="1:27" ht="15" customHeight="1">
      <c r="A6" s="3"/>
      <c r="B6" s="35"/>
      <c r="C6" s="35"/>
      <c r="D6" s="14">
        <f>DELIVERY!E6</f>
        <v>2</v>
      </c>
      <c r="E6" s="14" t="str">
        <f>DELIVERY!F6</f>
        <v>DELL</v>
      </c>
      <c r="F6" s="14">
        <f>DELIVERY!G6</f>
        <v>5763256844</v>
      </c>
      <c r="G6" s="14" t="str">
        <f>DELIVERY!H6</f>
        <v>INSPIRON</v>
      </c>
      <c r="H6" s="14" t="s">
        <v>120</v>
      </c>
      <c r="I6" s="14" t="s">
        <v>97</v>
      </c>
      <c r="J6" s="15" t="s">
        <v>44</v>
      </c>
      <c r="K6" s="15">
        <v>44155</v>
      </c>
      <c r="L6" s="16">
        <v>0.375</v>
      </c>
      <c r="M6" s="16">
        <v>0.65625</v>
      </c>
      <c r="N6" s="14" t="str">
        <f>IF(AND(E6="HP", STOCK!$G$4 &gt;0), "AVAILABLE", IF(AND(E6="DELL", STOCK!$G$5 &gt;0), "AVAILABLE", IF(AND(E6="TOSHIBA", STOCK!$G$6 &gt;0), "AVAILABLE",IF(AND(E6="ASUS", STOCK!$G$7 &gt;0), "AVAILABLE", IF(AND(E6="LENOVO", STOCK!$G$8 &gt;0), "AVAILABLE",IF(AND(E6="ACER", STOCK!$G$9 &gt;0), "AVAILABLE",IF(AND(E6="SAMSUNG", STOCK!$G$10 &gt;0), "AVAILABLE",IF(AND(E6="SONY", STOCK!$G$11 &gt;0), "AVAILABLE", IF(AND(E6="APPLE", STOCK!$G$12 &gt;0), "AVAILABLE", "NOT AVAILABLE")))))))))</f>
        <v>NOT AVAILABLE</v>
      </c>
      <c r="O6" s="17">
        <f t="shared" si="0"/>
        <v>0.28125</v>
      </c>
      <c r="P6" s="14" t="str">
        <f t="shared" ref="P6:P24" si="2">IF(O6&gt;TIME(8,0,0),"PENALTY","NO PENALTY")</f>
        <v>NO PENALTY</v>
      </c>
      <c r="Q6" s="18" t="str">
        <f t="shared" si="1"/>
        <v>k0</v>
      </c>
      <c r="R6" s="3"/>
      <c r="U6" s="23"/>
      <c r="V6" s="14" t="s">
        <v>93</v>
      </c>
      <c r="W6" s="14">
        <f>COUNTIF(I5:I24,"LUST PICKFORD")</f>
        <v>3</v>
      </c>
      <c r="X6" s="3"/>
      <c r="Y6" s="14" t="s">
        <v>125</v>
      </c>
      <c r="Z6" s="14">
        <f>COUNTIF(H5:H24,"MANAGER")</f>
        <v>7</v>
      </c>
      <c r="AA6" s="3"/>
    </row>
    <row r="7" spans="1:27" ht="15" customHeight="1">
      <c r="A7" s="3"/>
      <c r="B7" s="35"/>
      <c r="C7" s="35"/>
      <c r="D7" s="14">
        <f>DELIVERY!E7</f>
        <v>3</v>
      </c>
      <c r="E7" s="14" t="str">
        <f>DELIVERY!F7</f>
        <v>TOSHIBA</v>
      </c>
      <c r="F7" s="14">
        <f>DELIVERY!G7</f>
        <v>3254697465</v>
      </c>
      <c r="G7" s="14" t="str">
        <f>DELIVERY!H7</f>
        <v>VAIO GT4</v>
      </c>
      <c r="H7" s="14" t="s">
        <v>121</v>
      </c>
      <c r="I7" s="14" t="s">
        <v>96</v>
      </c>
      <c r="J7" s="15" t="s">
        <v>47</v>
      </c>
      <c r="K7" s="15">
        <v>44081</v>
      </c>
      <c r="L7" s="16">
        <v>0.41666666666666702</v>
      </c>
      <c r="M7" s="16">
        <v>0.69791666666666663</v>
      </c>
      <c r="N7" s="14" t="str">
        <f>IF(AND(E7="HP", STOCK!$G$4 &gt;0), "AVAILABLE", IF(AND(E7="DELL", STOCK!$G$5 &gt;0), "AVAILABLE", IF(AND(E7="TOSHIBA", STOCK!$G$6 &gt;0), "AVAILABLE",IF(AND(E7="ASUS", STOCK!$G$7 &gt;0), "AVAILABLE", IF(AND(E7="LENOVO", STOCK!$G$8 &gt;0), "AVAILABLE",IF(AND(E7="ACER", STOCK!$G$9 &gt;0), "AVAILABLE",IF(AND(E7="SAMSUNG", STOCK!$G$10 &gt;0), "AVAILABLE",IF(AND(E7="SONY", STOCK!$G$11 &gt;0), "AVAILABLE", IF(AND(E7="APPLE", STOCK!$G$12 &gt;0), "AVAILABLE", "NOT AVAILABLE")))))))))</f>
        <v>NOT AVAILABLE</v>
      </c>
      <c r="O7" s="17">
        <f t="shared" si="0"/>
        <v>0.28124999999999961</v>
      </c>
      <c r="P7" s="14" t="str">
        <f t="shared" si="2"/>
        <v>NO PENALTY</v>
      </c>
      <c r="Q7" s="18" t="str">
        <f t="shared" si="1"/>
        <v>k0</v>
      </c>
      <c r="R7" s="3"/>
      <c r="U7" s="23"/>
      <c r="V7" s="14" t="s">
        <v>97</v>
      </c>
      <c r="W7" s="14">
        <f>COUNTIF(I5:I24,"RODGERS WYNTER")</f>
        <v>1</v>
      </c>
      <c r="X7" s="3"/>
      <c r="Y7" s="14" t="s">
        <v>121</v>
      </c>
      <c r="Z7" s="14">
        <f>COUNTIF(H5:H24,"ASSISTANT MANAGER 1")</f>
        <v>4</v>
      </c>
      <c r="AA7" s="3"/>
    </row>
    <row r="8" spans="1:27" ht="15" customHeight="1">
      <c r="A8" s="3"/>
      <c r="B8" s="35"/>
      <c r="C8" s="35"/>
      <c r="D8" s="14">
        <f>DELIVERY!E8</f>
        <v>4</v>
      </c>
      <c r="E8" s="14" t="str">
        <f>DELIVERY!F8</f>
        <v>HP</v>
      </c>
      <c r="F8" s="14">
        <f>DELIVERY!G8</f>
        <v>6987412350</v>
      </c>
      <c r="G8" s="14" t="str">
        <f>DELIVERY!H8</f>
        <v>SETELLITE PRO</v>
      </c>
      <c r="H8" s="14" t="s">
        <v>120</v>
      </c>
      <c r="I8" s="14" t="s">
        <v>96</v>
      </c>
      <c r="J8" s="15" t="s">
        <v>43</v>
      </c>
      <c r="K8" s="15">
        <v>43958</v>
      </c>
      <c r="L8" s="16">
        <v>0.34166666666666662</v>
      </c>
      <c r="M8" s="16">
        <v>0.70763888888888893</v>
      </c>
      <c r="N8" s="14" t="str">
        <f>IF(AND(E8="HP", STOCK!$G$4 &gt;0), "AVAILABLE", IF(AND(E8="DELL", STOCK!$G$5 &gt;0), "AVAILABLE", IF(AND(E8="TOSHIBA", STOCK!$G$6 &gt;0), "AVAILABLE",IF(AND(E8="ASUS", STOCK!$G$7 &gt;0), "AVAILABLE", IF(AND(E8="LENOVO", STOCK!$G$8 &gt;0), "AVAILABLE",IF(AND(E8="ACER", STOCK!$G$9 &gt;0), "AVAILABLE",IF(AND(E8="SAMSUNG", STOCK!$G$10 &gt;0), "AVAILABLE",IF(AND(E8="SONY", STOCK!$G$11 &gt;0), "AVAILABLE", IF(AND(E8="APPLE", STOCK!$G$12 &gt;0), "AVAILABLE", "NOT AVAILABLE")))))))))</f>
        <v>NOT AVAILABLE</v>
      </c>
      <c r="O8" s="17">
        <f t="shared" si="0"/>
        <v>0.36597222222222231</v>
      </c>
      <c r="P8" s="14" t="str">
        <f t="shared" si="2"/>
        <v>PENALTY</v>
      </c>
      <c r="Q8" s="18" t="str">
        <f t="shared" si="1"/>
        <v>K100</v>
      </c>
      <c r="R8" s="3"/>
      <c r="U8" s="23"/>
      <c r="V8" s="14" t="s">
        <v>100</v>
      </c>
      <c r="W8" s="14">
        <f>COUNTIF(I5:I24,"JACE MANCHESTER")</f>
        <v>1</v>
      </c>
      <c r="X8" s="3"/>
      <c r="Y8" s="14" t="s">
        <v>122</v>
      </c>
      <c r="Z8" s="14">
        <f>COUNTIF(H5:H24,"ASSISTANT MANAGER 2")</f>
        <v>5</v>
      </c>
      <c r="AA8" s="3"/>
    </row>
    <row r="9" spans="1:27" ht="15" customHeight="1">
      <c r="A9" s="3"/>
      <c r="B9" s="35"/>
      <c r="C9" s="35"/>
      <c r="D9" s="14">
        <f>DELIVERY!E9</f>
        <v>5</v>
      </c>
      <c r="E9" s="14" t="str">
        <f>DELIVERY!F9</f>
        <v>DELL</v>
      </c>
      <c r="F9" s="14">
        <f>DELIVERY!G9</f>
        <v>3204683468</v>
      </c>
      <c r="G9" s="14" t="str">
        <f>DELIVERY!H9</f>
        <v xml:space="preserve">PROBOOK </v>
      </c>
      <c r="H9" s="14" t="s">
        <v>121</v>
      </c>
      <c r="I9" s="14" t="s">
        <v>95</v>
      </c>
      <c r="J9" s="15" t="s">
        <v>61</v>
      </c>
      <c r="K9" s="15">
        <v>43923</v>
      </c>
      <c r="L9" s="16">
        <v>0.51666666666666672</v>
      </c>
      <c r="M9" s="16">
        <v>0.625</v>
      </c>
      <c r="N9" s="14" t="str">
        <f>IF(AND(E9="HP", STOCK!$G$4 &gt;0), "AVAILABLE", IF(AND(E9="DELL", STOCK!$G$5 &gt;0), "AVAILABLE", IF(AND(E9="TOSHIBA", STOCK!$G$6 &gt;0), "AVAILABLE",IF(AND(E9="ASUS", STOCK!$G$7 &gt;0), "AVAILABLE", IF(AND(E9="LENOVO", STOCK!$G$8 &gt;0), "AVAILABLE",IF(AND(E9="ACER", STOCK!$G$9 &gt;0), "AVAILABLE",IF(AND(E9="SAMSUNG", STOCK!$G$10 &gt;0), "AVAILABLE",IF(AND(E9="SONY", STOCK!$G$11 &gt;0), "AVAILABLE", IF(AND(E9="APPLE", STOCK!$G$12 &gt;0), "AVAILABLE", "NOT AVAILABLE")))))))))</f>
        <v>NOT AVAILABLE</v>
      </c>
      <c r="O9" s="17">
        <f t="shared" si="0"/>
        <v>0.10833333333333328</v>
      </c>
      <c r="P9" s="14" t="str">
        <f t="shared" si="2"/>
        <v>NO PENALTY</v>
      </c>
      <c r="Q9" s="18" t="str">
        <f t="shared" si="1"/>
        <v>k0</v>
      </c>
      <c r="R9" s="3"/>
      <c r="U9" s="23"/>
      <c r="V9" s="14" t="s">
        <v>92</v>
      </c>
      <c r="W9" s="14">
        <f>COUNTIF(I5:I24,"SALI DAEL")</f>
        <v>2</v>
      </c>
      <c r="X9" s="3"/>
      <c r="Y9" s="14" t="s">
        <v>123</v>
      </c>
      <c r="Z9" s="14">
        <f>COUNTIF(H5:H24,"ASSISTANT MANAGER 3")</f>
        <v>3</v>
      </c>
      <c r="AA9" s="3"/>
    </row>
    <row r="10" spans="1:27" ht="15" customHeight="1">
      <c r="A10" s="3"/>
      <c r="B10" s="35"/>
      <c r="C10" s="35"/>
      <c r="D10" s="14">
        <f>DELIVERY!E10</f>
        <v>6</v>
      </c>
      <c r="E10" s="14" t="str">
        <f>DELIVERY!F10</f>
        <v>LENOVO</v>
      </c>
      <c r="F10" s="14">
        <f>DELIVERY!G10</f>
        <v>9046523145</v>
      </c>
      <c r="G10" s="14" t="str">
        <f>DELIVERY!H10</f>
        <v>THINKPAD T450</v>
      </c>
      <c r="H10" s="14" t="s">
        <v>122</v>
      </c>
      <c r="I10" s="14" t="s">
        <v>101</v>
      </c>
      <c r="J10" s="15" t="s">
        <v>59</v>
      </c>
      <c r="K10" s="15">
        <v>43928</v>
      </c>
      <c r="L10" s="16">
        <v>0.4201388888888889</v>
      </c>
      <c r="M10" s="16">
        <v>0.59236111111111112</v>
      </c>
      <c r="N10" s="14" t="str">
        <f>IF(AND(E10="HP", STOCK!$G$4 &gt;0), "AVAILABLE", IF(AND(E10="DELL", STOCK!$G$5 &gt;0), "AVAILABLE", IF(AND(E10="TOSHIBA", STOCK!$G$6 &gt;0), "AVAILABLE",IF(AND(E10="ASUS", STOCK!$G$7 &gt;0), "AVAILABLE", IF(AND(E10="LENOVO", STOCK!$G$8 &gt;0), "AVAILABLE",IF(AND(E10="ACER", STOCK!$G$9 &gt;0), "AVAILABLE",IF(AND(E10="SAMSUNG", STOCK!$G$10 &gt;0), "AVAILABLE",IF(AND(E10="SONY", STOCK!$G$11 &gt;0), "AVAILABLE", IF(AND(E10="APPLE", STOCK!$G$12 &gt;0), "AVAILABLE", "NOT AVAILABLE")))))))))</f>
        <v>NOT AVAILABLE</v>
      </c>
      <c r="O10" s="17">
        <f>M10-L10</f>
        <v>0.17222222222222222</v>
      </c>
      <c r="P10" s="14" t="str">
        <f t="shared" si="2"/>
        <v>NO PENALTY</v>
      </c>
      <c r="Q10" s="18" t="str">
        <f t="shared" si="1"/>
        <v>k0</v>
      </c>
      <c r="R10" s="3"/>
      <c r="U10" s="23"/>
      <c r="V10" s="14" t="s">
        <v>96</v>
      </c>
      <c r="W10" s="14">
        <f>COUNTIF(I5:I24,"NATHAN BARBERMAN")</f>
        <v>2</v>
      </c>
      <c r="X10" s="3"/>
      <c r="Y10" s="14" t="s">
        <v>124</v>
      </c>
      <c r="Z10" s="14">
        <f>COUNTIF(H5:H24,"ASSISTANT MANAGER 4")</f>
        <v>1</v>
      </c>
      <c r="AA10" s="3"/>
    </row>
    <row r="11" spans="1:27" ht="15" customHeight="1">
      <c r="A11" s="3"/>
      <c r="B11" s="35"/>
      <c r="C11" s="35"/>
      <c r="D11" s="14">
        <f>DELIVERY!E11</f>
        <v>7</v>
      </c>
      <c r="E11" s="14" t="str">
        <f>DELIVERY!F11</f>
        <v>TOSHIBA</v>
      </c>
      <c r="F11" s="14">
        <f>DELIVERY!G11</f>
        <v>6045896430</v>
      </c>
      <c r="G11" s="14" t="str">
        <f>DELIVERY!H11</f>
        <v>TECRA A50 D</v>
      </c>
      <c r="H11" s="14" t="s">
        <v>120</v>
      </c>
      <c r="I11" s="14" t="s">
        <v>94</v>
      </c>
      <c r="J11" s="15" t="s">
        <v>60</v>
      </c>
      <c r="K11" s="15">
        <v>43929</v>
      </c>
      <c r="L11" s="16">
        <v>0.3354166666666667</v>
      </c>
      <c r="M11" s="16">
        <v>0.59305555555555556</v>
      </c>
      <c r="N11" s="14" t="str">
        <f>IF(AND(E11="HP", STOCK!$G$4 &gt;0), "AVAILABLE", IF(AND(E11="DELL", STOCK!$G$5 &gt;0), "AVAILABLE", IF(AND(E11="TOSHIBA", STOCK!$G$6 &gt;0), "AVAILABLE",IF(AND(E11="ASUS", STOCK!$G$7 &gt;0), "AVAILABLE", IF(AND(E11="LENOVO", STOCK!$G$8 &gt;0), "AVAILABLE",IF(AND(E11="ACER", STOCK!$G$9 &gt;0), "AVAILABLE",IF(AND(E11="SAMSUNG", STOCK!$G$10 &gt;0), "AVAILABLE",IF(AND(E11="SONY", STOCK!$G$11 &gt;0), "AVAILABLE", IF(AND(E11="APPLE", STOCK!$G$12 &gt;0), "AVAILABLE", "NOT AVAILABLE")))))))))</f>
        <v>NOT AVAILABLE</v>
      </c>
      <c r="O11" s="17">
        <f t="shared" si="0"/>
        <v>0.25763888888888886</v>
      </c>
      <c r="P11" s="14" t="str">
        <f t="shared" si="2"/>
        <v>NO PENALTY</v>
      </c>
      <c r="Q11" s="18" t="str">
        <f t="shared" si="1"/>
        <v>k0</v>
      </c>
      <c r="R11" s="3"/>
      <c r="U11" s="23"/>
      <c r="V11" s="14" t="s">
        <v>99</v>
      </c>
      <c r="W11" s="14">
        <f>COUNTIF(I5:I24,"ARNOLD PETE")</f>
        <v>3</v>
      </c>
      <c r="X11" s="3"/>
      <c r="Y11" s="3"/>
      <c r="Z11" s="3"/>
      <c r="AA11" s="3"/>
    </row>
    <row r="12" spans="1:27" ht="15" customHeight="1">
      <c r="A12" s="3"/>
      <c r="B12" s="35"/>
      <c r="C12" s="35"/>
      <c r="D12" s="14">
        <f>DELIVERY!E12</f>
        <v>8</v>
      </c>
      <c r="E12" s="14" t="str">
        <f>DELIVERY!F12</f>
        <v>SAMSUNG</v>
      </c>
      <c r="F12" s="14">
        <f>DELIVERY!G12</f>
        <v>3000005486</v>
      </c>
      <c r="G12" s="14" t="str">
        <f>DELIVERY!H12</f>
        <v>GALAXY GT-3</v>
      </c>
      <c r="H12" s="14" t="s">
        <v>124</v>
      </c>
      <c r="I12" s="14" t="s">
        <v>99</v>
      </c>
      <c r="J12" s="15" t="s">
        <v>48</v>
      </c>
      <c r="K12" s="15">
        <v>43860</v>
      </c>
      <c r="L12" s="16">
        <v>0.36180555555555555</v>
      </c>
      <c r="M12" s="16">
        <v>0.70347222222222217</v>
      </c>
      <c r="N12" s="14" t="str">
        <f>IF(AND(E12="HP", STOCK!$G$4 &gt;0), "AVAILABLE", IF(AND(E12="DELL", STOCK!$G$5 &gt;0), "AVAILABLE", IF(AND(E12="TOSHIBA", STOCK!$G$6 &gt;0), "AVAILABLE",IF(AND(E12="ASUS", STOCK!$G$7 &gt;0), "AVAILABLE", IF(AND(E12="LENOVO", STOCK!$G$8 &gt;0), "AVAILABLE",IF(AND(E12="ACER", STOCK!$G$9 &gt;0), "AVAILABLE",IF(AND(E12="SAMSUNG", STOCK!$G$10 &gt;0), "AVAILABLE",IF(AND(E12="SONY", STOCK!$G$11 &gt;0), "AVAILABLE", IF(AND(E12="APPLE", STOCK!$G$12 &gt;0), "AVAILABLE", "NOT AVAILABLE")))))))))</f>
        <v>NOT AVAILABLE</v>
      </c>
      <c r="O12" s="17">
        <f t="shared" si="0"/>
        <v>0.34166666666666662</v>
      </c>
      <c r="P12" s="14" t="str">
        <f t="shared" si="2"/>
        <v>PENALTY</v>
      </c>
      <c r="Q12" s="18" t="str">
        <f t="shared" si="1"/>
        <v>K100</v>
      </c>
      <c r="R12" s="3"/>
      <c r="U12" s="23"/>
      <c r="V12" s="14" t="s">
        <v>98</v>
      </c>
      <c r="W12" s="14">
        <f>COUNTIF(I5:I24,"ALEXANDRO KOVIC")</f>
        <v>1</v>
      </c>
      <c r="X12" s="3"/>
      <c r="Y12" s="25"/>
      <c r="Z12" s="25"/>
      <c r="AA12" s="25"/>
    </row>
    <row r="13" spans="1:27" ht="15" customHeight="1">
      <c r="A13" s="3"/>
      <c r="B13" s="35"/>
      <c r="C13" s="35"/>
      <c r="D13" s="14">
        <f>DELIVERY!E13</f>
        <v>9</v>
      </c>
      <c r="E13" s="14" t="str">
        <f>DELIVERY!F13</f>
        <v>SONY</v>
      </c>
      <c r="F13" s="14">
        <f>DELIVERY!G13</f>
        <v>9873005410</v>
      </c>
      <c r="G13" s="14" t="str">
        <f>DELIVERY!H13</f>
        <v>ENVY 17</v>
      </c>
      <c r="H13" s="14" t="s">
        <v>122</v>
      </c>
      <c r="I13" s="14" t="s">
        <v>92</v>
      </c>
      <c r="J13" s="15" t="s">
        <v>62</v>
      </c>
      <c r="K13" s="15">
        <v>43907</v>
      </c>
      <c r="L13" s="16">
        <v>0.34027777777777773</v>
      </c>
      <c r="M13" s="16">
        <v>0.6875</v>
      </c>
      <c r="N13" s="14" t="str">
        <f>IF(AND(E13="HP", STOCK!$G$4 &gt;0), "AVAILABLE", IF(AND(E13="DELL", STOCK!$G$5 &gt;0), "AVAILABLE", IF(AND(E13="TOSHIBA", STOCK!$G$6 &gt;0), "AVAILABLE",IF(AND(E13="ASUS", STOCK!$G$7 &gt;0), "AVAILABLE", IF(AND(E13="LENOVO", STOCK!$G$8 &gt;0), "AVAILABLE",IF(AND(E13="ACER", STOCK!$G$9 &gt;0), "AVAILABLE",IF(AND(E13="SAMSUNG", STOCK!$G$10 &gt;0), "AVAILABLE",IF(AND(E13="SONY", STOCK!$G$11 &gt;0), "AVAILABLE", IF(AND(E13="APPLE", STOCK!$G$12 &gt;0), "AVAILABLE", "NOT AVAILABLE")))))))))</f>
        <v>NOT AVAILABLE</v>
      </c>
      <c r="O13" s="17">
        <f t="shared" si="0"/>
        <v>0.34722222222222227</v>
      </c>
      <c r="P13" s="14" t="str">
        <f t="shared" si="2"/>
        <v>PENALTY</v>
      </c>
      <c r="Q13" s="18" t="str">
        <f t="shared" si="1"/>
        <v>K100</v>
      </c>
      <c r="R13" s="3"/>
      <c r="U13" s="24"/>
      <c r="V13" s="14" t="s">
        <v>95</v>
      </c>
      <c r="W13" s="14">
        <f>COUNTIF(I5:I24,"JANE FIREMANS")</f>
        <v>2</v>
      </c>
      <c r="X13" s="3"/>
      <c r="Y13" s="25"/>
      <c r="Z13" s="25"/>
      <c r="AA13" s="25"/>
    </row>
    <row r="14" spans="1:27" ht="15" customHeight="1">
      <c r="A14" s="3"/>
      <c r="B14" s="35"/>
      <c r="C14" s="35"/>
      <c r="D14" s="14">
        <f>DELIVERY!E14</f>
        <v>10</v>
      </c>
      <c r="E14" s="14" t="str">
        <f>DELIVERY!F14</f>
        <v>ACER</v>
      </c>
      <c r="F14" s="14">
        <f>DELIVERY!G14</f>
        <v>6974521001</v>
      </c>
      <c r="G14" s="14" t="str">
        <f>DELIVERY!H14</f>
        <v>X1 CARBON</v>
      </c>
      <c r="H14" s="14" t="s">
        <v>122</v>
      </c>
      <c r="I14" s="14" t="s">
        <v>94</v>
      </c>
      <c r="J14" s="15" t="s">
        <v>49</v>
      </c>
      <c r="K14" s="15">
        <v>43997</v>
      </c>
      <c r="L14" s="16">
        <v>0.3888888888888889</v>
      </c>
      <c r="M14" s="16">
        <v>0.58958333333333335</v>
      </c>
      <c r="N14" s="14" t="str">
        <f>IF(AND(E14="HP", STOCK!$G$4 &gt;0), "AVAILABLE", IF(AND(E14="DELL", STOCK!$G$5 &gt;0), "AVAILABLE", IF(AND(E14="TOSHIBA", STOCK!$G$6 &gt;0), "AVAILABLE",IF(AND(E14="ASUS", STOCK!$G$7 &gt;0), "AVAILABLE", IF(AND(E14="LENOVO", STOCK!$G$8 &gt;0), "AVAILABLE",IF(AND(E14="ACER", STOCK!$G$9 &gt;0), "AVAILABLE",IF(AND(E14="SAMSUNG", STOCK!$G$10 &gt;0), "AVAILABLE",IF(AND(E14="SONY", STOCK!$G$11 &gt;0), "AVAILABLE", IF(AND(E14="APPLE", STOCK!$G$12 &gt;0), "AVAILABLE", "NOT AVAILABLE")))))))))</f>
        <v>AVAILABLE</v>
      </c>
      <c r="O14" s="17">
        <f t="shared" si="0"/>
        <v>0.20069444444444445</v>
      </c>
      <c r="P14" s="14" t="str">
        <f t="shared" si="2"/>
        <v>NO PENALTY</v>
      </c>
      <c r="Q14" s="18" t="str">
        <f t="shared" si="1"/>
        <v>k0</v>
      </c>
      <c r="R14" s="3"/>
      <c r="U14" s="3"/>
      <c r="V14" s="14" t="s">
        <v>101</v>
      </c>
      <c r="W14" s="14">
        <f>COUNTIF(I5:I24,"RAY BILLIE")</f>
        <v>1</v>
      </c>
      <c r="X14" s="3"/>
      <c r="Y14" s="25"/>
      <c r="Z14" s="25"/>
      <c r="AA14" s="25"/>
    </row>
    <row r="15" spans="1:27" ht="15" customHeight="1">
      <c r="A15" s="3"/>
      <c r="B15" s="35"/>
      <c r="C15" s="35"/>
      <c r="D15" s="14">
        <f>DELIVERY!E15</f>
        <v>11</v>
      </c>
      <c r="E15" s="14" t="str">
        <f>DELIVERY!F15</f>
        <v>ACER</v>
      </c>
      <c r="F15" s="14">
        <f>DELIVERY!G15</f>
        <v>2145369854</v>
      </c>
      <c r="G15" s="14" t="str">
        <f>DELIVERY!H15</f>
        <v>TETRA</v>
      </c>
      <c r="H15" s="14" t="s">
        <v>121</v>
      </c>
      <c r="I15" s="14" t="s">
        <v>99</v>
      </c>
      <c r="J15" s="15" t="s">
        <v>58</v>
      </c>
      <c r="K15" s="15">
        <v>44029</v>
      </c>
      <c r="L15" s="16">
        <v>0.3743055555555555</v>
      </c>
      <c r="M15" s="16">
        <v>0.65486111111111112</v>
      </c>
      <c r="N15" s="14" t="str">
        <f>IF(AND(E15="HP", STOCK!$G$4 &gt;0), "AVAILABLE", IF(AND(E15="DELL", STOCK!$G$5 &gt;0), "AVAILABLE", IF(AND(E15="TOSHIBA", STOCK!$G$6 &gt;0), "AVAILABLE",IF(AND(E15="ASUS", STOCK!$G$7 &gt;0), "AVAILABLE", IF(AND(E15="LENOVO", STOCK!$G$8 &gt;0), "AVAILABLE",IF(AND(E15="ACER", STOCK!$G$9 &gt;0), "AVAILABLE",IF(AND(E15="SAMSUNG", STOCK!$G$10 &gt;0), "AVAILABLE",IF(AND(E15="SONY", STOCK!$G$11 &gt;0), "AVAILABLE", IF(AND(E15="APPLE", STOCK!$G$12 &gt;0), "AVAILABLE", "NOT AVAILABLE")))))))))</f>
        <v>AVAILABLE</v>
      </c>
      <c r="O15" s="17">
        <f t="shared" si="0"/>
        <v>0.28055555555555561</v>
      </c>
      <c r="P15" s="14" t="str">
        <f t="shared" si="2"/>
        <v>NO PENALTY</v>
      </c>
      <c r="Q15" s="18" t="str">
        <f t="shared" si="1"/>
        <v>k0</v>
      </c>
      <c r="R15" s="3"/>
      <c r="U15" s="3"/>
      <c r="V15" s="14" t="s">
        <v>94</v>
      </c>
      <c r="W15" s="14">
        <f>COUNTIF(I5:I24,"DEXTER WILLIAMS")</f>
        <v>4</v>
      </c>
      <c r="X15" s="3"/>
      <c r="Y15" s="25"/>
      <c r="Z15" s="25"/>
      <c r="AA15" s="25"/>
    </row>
    <row r="16" spans="1:27" ht="15" customHeight="1">
      <c r="A16" s="3"/>
      <c r="B16" s="35"/>
      <c r="C16" s="35"/>
      <c r="D16" s="14">
        <f>DELIVERY!E16</f>
        <v>12</v>
      </c>
      <c r="E16" s="14" t="str">
        <f>DELIVERY!F16</f>
        <v>APPLE</v>
      </c>
      <c r="F16" s="14">
        <f>DELIVERY!G16</f>
        <v>7458636985</v>
      </c>
      <c r="G16" s="14" t="str">
        <f>DELIVERY!H16</f>
        <v>MAC BOOK AIR 2021</v>
      </c>
      <c r="H16" s="14" t="s">
        <v>122</v>
      </c>
      <c r="I16" s="14" t="s">
        <v>99</v>
      </c>
      <c r="J16" s="15" t="s">
        <v>50</v>
      </c>
      <c r="K16" s="15">
        <v>43987</v>
      </c>
      <c r="L16" s="16">
        <v>0.38194444444444442</v>
      </c>
      <c r="M16" s="16">
        <v>0.6020833333333333</v>
      </c>
      <c r="N16" s="14" t="str">
        <f>IF(AND(E16="HP", STOCK!$G$4 &gt;0), "AVAILABLE", IF(AND(E16="DELL", STOCK!$G$5 &gt;0), "AVAILABLE", IF(AND(E16="TOSHIBA", STOCK!$G$6 &gt;0), "AVAILABLE",IF(AND(E16="ASUS", STOCK!$G$7 &gt;0), "AVAILABLE", IF(AND(E16="LENOVO", STOCK!$G$8 &gt;0), "AVAILABLE",IF(AND(E16="ACER", STOCK!$G$9 &gt;0), "AVAILABLE",IF(AND(E16="SAMSUNG", STOCK!$G$10 &gt;0), "AVAILABLE",IF(AND(E16="SONY", STOCK!$G$11 &gt;0), "AVAILABLE", IF(AND(E16="APPLE", STOCK!$G$12 &gt;0), "AVAILABLE", "NOT AVAILABLE")))))))))</f>
        <v>NOT AVAILABLE</v>
      </c>
      <c r="O16" s="17">
        <f t="shared" si="0"/>
        <v>0.22013888888888888</v>
      </c>
      <c r="P16" s="14" t="str">
        <f t="shared" si="2"/>
        <v>NO PENALTY</v>
      </c>
      <c r="Q16" s="18" t="str">
        <f t="shared" si="1"/>
        <v>k0</v>
      </c>
      <c r="R16" s="3"/>
      <c r="U16" s="3"/>
      <c r="V16" s="21"/>
      <c r="W16" s="3"/>
      <c r="X16" s="3"/>
      <c r="Y16" s="25"/>
      <c r="Z16" s="25"/>
      <c r="AA16" s="25"/>
    </row>
    <row r="17" spans="1:18" ht="15" customHeight="1">
      <c r="A17" s="3"/>
      <c r="B17" s="35"/>
      <c r="C17" s="35"/>
      <c r="D17" s="14">
        <f>DELIVERY!E17</f>
        <v>13</v>
      </c>
      <c r="E17" s="14" t="str">
        <f>DELIVERY!F17</f>
        <v>TOSHIBA</v>
      </c>
      <c r="F17" s="14">
        <f>DELIVERY!G17</f>
        <v>2254001250</v>
      </c>
      <c r="G17" s="14" t="str">
        <f>DELIVERY!H17</f>
        <v>SWIFT 3X</v>
      </c>
      <c r="H17" s="14" t="s">
        <v>121</v>
      </c>
      <c r="I17" s="14" t="s">
        <v>94</v>
      </c>
      <c r="J17" s="15" t="s">
        <v>51</v>
      </c>
      <c r="K17" s="15">
        <v>44005</v>
      </c>
      <c r="L17" s="16">
        <v>0.3354166666666667</v>
      </c>
      <c r="M17" s="16">
        <v>0.69930555555555562</v>
      </c>
      <c r="N17" s="14" t="str">
        <f>IF(AND(E17="HP", STOCK!$G$4 &gt;0), "AVAILABLE", IF(AND(E17="DELL", STOCK!$G$5 &gt;0), "AVAILABLE", IF(AND(E17="TOSHIBA", STOCK!$G$6 &gt;0), "AVAILABLE",IF(AND(E17="ASUS", STOCK!$G$7 &gt;0), "AVAILABLE", IF(AND(E17="LENOVO", STOCK!$G$8 &gt;0), "AVAILABLE",IF(AND(E17="ACER", STOCK!$G$9 &gt;0), "AVAILABLE",IF(AND(E17="SAMSUNG", STOCK!$G$10 &gt;0), "AVAILABLE",IF(AND(E17="SONY", STOCK!$G$11 &gt;0), "AVAILABLE", IF(AND(E17="APPLE", STOCK!$G$12 &gt;0), "AVAILABLE", "NOT AVAILABLE")))))))))</f>
        <v>NOT AVAILABLE</v>
      </c>
      <c r="O17" s="17">
        <f t="shared" si="0"/>
        <v>0.36388888888888893</v>
      </c>
      <c r="P17" s="14" t="str">
        <f t="shared" si="2"/>
        <v>PENALTY</v>
      </c>
      <c r="Q17" s="18" t="str">
        <f t="shared" si="1"/>
        <v>K100</v>
      </c>
      <c r="R17" s="3"/>
    </row>
    <row r="18" spans="1:18" ht="15" customHeight="1">
      <c r="A18" s="3"/>
      <c r="B18" s="35"/>
      <c r="C18" s="35"/>
      <c r="D18" s="14">
        <f>DELIVERY!E18</f>
        <v>14</v>
      </c>
      <c r="E18" s="14" t="str">
        <f>DELIVERY!F18</f>
        <v>LENOVO</v>
      </c>
      <c r="F18" s="14">
        <f>DELIVERY!G18</f>
        <v>3354669871</v>
      </c>
      <c r="G18" s="14" t="str">
        <f>DELIVERY!H18</f>
        <v>PREDETOR TRITON</v>
      </c>
      <c r="H18" s="14" t="s">
        <v>122</v>
      </c>
      <c r="I18" s="14" t="s">
        <v>100</v>
      </c>
      <c r="J18" s="15" t="s">
        <v>52</v>
      </c>
      <c r="K18" s="15">
        <v>43878</v>
      </c>
      <c r="L18" s="16">
        <v>0.48819444444444443</v>
      </c>
      <c r="M18" s="16">
        <v>0.68472222222222223</v>
      </c>
      <c r="N18" s="14" t="str">
        <f>IF(AND(E18="HP", STOCK!$G$4 &gt;0), "AVAILABLE", IF(AND(E18="DELL", STOCK!$G$5 &gt;0), "AVAILABLE", IF(AND(E18="TOSHIBA", STOCK!$G$6 &gt;0), "AVAILABLE",IF(AND(E18="ASUS", STOCK!$G$7 &gt;0), "AVAILABLE", IF(AND(E18="LENOVO", STOCK!$G$8 &gt;0), "AVAILABLE",IF(AND(E18="ACER", STOCK!$G$9 &gt;0), "AVAILABLE",IF(AND(E18="SAMSUNG", STOCK!$G$10 &gt;0), "AVAILABLE",IF(AND(E18="SONY", STOCK!$G$11 &gt;0), "AVAILABLE", IF(AND(E18="APPLE", STOCK!$G$12 &gt;0), "AVAILABLE", "NOT AVAILABLE")))))))))</f>
        <v>NOT AVAILABLE</v>
      </c>
      <c r="O18" s="17">
        <f t="shared" si="0"/>
        <v>0.1965277777777778</v>
      </c>
      <c r="P18" s="14" t="str">
        <f t="shared" si="2"/>
        <v>NO PENALTY</v>
      </c>
      <c r="Q18" s="18" t="str">
        <f t="shared" si="1"/>
        <v>k0</v>
      </c>
      <c r="R18" s="3"/>
    </row>
    <row r="19" spans="1:18" ht="15" customHeight="1">
      <c r="A19" s="3"/>
      <c r="B19" s="35"/>
      <c r="C19" s="35"/>
      <c r="D19" s="14">
        <f>DELIVERY!E19</f>
        <v>15</v>
      </c>
      <c r="E19" s="14" t="str">
        <f>DELIVERY!F19</f>
        <v>SAMSUNG</v>
      </c>
      <c r="F19" s="14">
        <f>DELIVERY!G19</f>
        <v>2541133665</v>
      </c>
      <c r="G19" s="14" t="str">
        <f>DELIVERY!H19</f>
        <v>THINKPAD GT233</v>
      </c>
      <c r="H19" s="14" t="s">
        <v>120</v>
      </c>
      <c r="I19" s="14" t="s">
        <v>92</v>
      </c>
      <c r="J19" s="15" t="s">
        <v>53</v>
      </c>
      <c r="K19" s="15">
        <v>43971</v>
      </c>
      <c r="L19" s="16">
        <v>0.51388888888888895</v>
      </c>
      <c r="M19" s="16">
        <v>0.6430555555555556</v>
      </c>
      <c r="N19" s="14" t="str">
        <f>IF(AND(E19="HP", STOCK!$G$4 &gt;0), "AVAILABLE", IF(AND(E19="DELL", STOCK!$G$5 &gt;0), "AVAILABLE", IF(AND(E19="TOSHIBA", STOCK!$G$6 &gt;0), "AVAILABLE",IF(AND(E19="ASUS", STOCK!$G$7 &gt;0), "AVAILABLE", IF(AND(E19="LENOVO", STOCK!$G$8 &gt;0), "AVAILABLE",IF(AND(E19="ACER", STOCK!$G$9 &gt;0), "AVAILABLE",IF(AND(E19="SAMSUNG", STOCK!$G$10 &gt;0), "AVAILABLE",IF(AND(E19="SONY", STOCK!$G$11 &gt;0), "AVAILABLE", IF(AND(E19="APPLE", STOCK!$G$12 &gt;0), "AVAILABLE", "NOT AVAILABLE")))))))))</f>
        <v>NOT AVAILABLE</v>
      </c>
      <c r="O19" s="17">
        <f t="shared" si="0"/>
        <v>0.12916666666666665</v>
      </c>
      <c r="P19" s="14" t="str">
        <f t="shared" si="2"/>
        <v>NO PENALTY</v>
      </c>
      <c r="Q19" s="18" t="str">
        <f t="shared" si="1"/>
        <v>k0</v>
      </c>
      <c r="R19" s="3"/>
    </row>
    <row r="20" spans="1:18" ht="15" customHeight="1">
      <c r="A20" s="3"/>
      <c r="B20" s="35"/>
      <c r="C20" s="35"/>
      <c r="D20" s="14">
        <f>DELIVERY!E20</f>
        <v>16</v>
      </c>
      <c r="E20" s="14" t="str">
        <f>DELIVERY!F20</f>
        <v>DELL</v>
      </c>
      <c r="F20" s="14">
        <f>DELIVERY!G20</f>
        <v>1478556660</v>
      </c>
      <c r="G20" s="14" t="str">
        <f>DELIVERY!H20</f>
        <v>ZEN BOOK 16</v>
      </c>
      <c r="H20" s="14" t="s">
        <v>123</v>
      </c>
      <c r="I20" s="14" t="s">
        <v>95</v>
      </c>
      <c r="J20" s="15" t="s">
        <v>54</v>
      </c>
      <c r="K20" s="15">
        <v>44085</v>
      </c>
      <c r="L20" s="16">
        <v>0.48055555555555557</v>
      </c>
      <c r="M20" s="16">
        <v>0.62430555555555556</v>
      </c>
      <c r="N20" s="14" t="str">
        <f>IF(AND(E20="HP", STOCK!$G$4 &gt;0), "AVAILABLE", IF(AND(E20="DELL", STOCK!$G$5 &gt;0), "AVAILABLE", IF(AND(E20="TOSHIBA", STOCK!$G$6 &gt;0), "AVAILABLE",IF(AND(E20="ASUS", STOCK!$G$7 &gt;0), "AVAILABLE", IF(AND(E20="LENOVO", STOCK!$G$8 &gt;0), "AVAILABLE",IF(AND(E20="ACER", STOCK!$G$9 &gt;0), "AVAILABLE",IF(AND(E20="SAMSUNG", STOCK!$G$10 &gt;0), "AVAILABLE",IF(AND(E20="SONY", STOCK!$G$11 &gt;0), "AVAILABLE", IF(AND(E20="APPLE", STOCK!$G$12 &gt;0), "AVAILABLE", "NOT AVAILABLE")))))))))</f>
        <v>NOT AVAILABLE</v>
      </c>
      <c r="O20" s="17">
        <f t="shared" si="0"/>
        <v>0.14374999999999999</v>
      </c>
      <c r="P20" s="14" t="str">
        <f t="shared" si="2"/>
        <v>NO PENALTY</v>
      </c>
      <c r="Q20" s="18" t="str">
        <f t="shared" si="1"/>
        <v>k0</v>
      </c>
      <c r="R20" s="3"/>
    </row>
    <row r="21" spans="1:18" ht="15" customHeight="1">
      <c r="A21" s="3"/>
      <c r="B21" s="35"/>
      <c r="C21" s="35"/>
      <c r="D21" s="14">
        <f>DELIVERY!E21</f>
        <v>17</v>
      </c>
      <c r="E21" s="14" t="str">
        <f>DELIVERY!F21</f>
        <v>SONY</v>
      </c>
      <c r="F21" s="14">
        <f>DELIVERY!G21</f>
        <v>4478999990</v>
      </c>
      <c r="G21" s="14" t="str">
        <f>DELIVERY!H21</f>
        <v>XPERIA 2321</v>
      </c>
      <c r="H21" s="14" t="s">
        <v>123</v>
      </c>
      <c r="I21" s="14" t="s">
        <v>93</v>
      </c>
      <c r="J21" s="15" t="s">
        <v>55</v>
      </c>
      <c r="K21" s="15">
        <v>43895</v>
      </c>
      <c r="L21" s="16">
        <v>0.37222222222222223</v>
      </c>
      <c r="M21" s="16">
        <v>0.63541666666666663</v>
      </c>
      <c r="N21" s="14" t="str">
        <f>IF(AND(E21="HP", STOCK!$G$4 &gt;0), "AVAILABLE", IF(AND(E21="DELL", STOCK!$G$5 &gt;0), "AVAILABLE", IF(AND(E21="TOSHIBA", STOCK!$G$6 &gt;0), "AVAILABLE",IF(AND(E21="ASUS", STOCK!$G$7 &gt;0), "AVAILABLE", IF(AND(E21="LENOVO", STOCK!$G$8 &gt;0), "AVAILABLE",IF(AND(E21="ACER", STOCK!$G$9 &gt;0), "AVAILABLE",IF(AND(E21="SAMSUNG", STOCK!$G$10 &gt;0), "AVAILABLE",IF(AND(E21="SONY", STOCK!$G$11 &gt;0), "AVAILABLE", IF(AND(E21="APPLE", STOCK!$G$12 &gt;0), "AVAILABLE", "NOT AVAILABLE")))))))))</f>
        <v>NOT AVAILABLE</v>
      </c>
      <c r="O21" s="17">
        <f t="shared" si="0"/>
        <v>0.2631944444444444</v>
      </c>
      <c r="P21" s="14" t="str">
        <f t="shared" si="2"/>
        <v>NO PENALTY</v>
      </c>
      <c r="Q21" s="18" t="str">
        <f t="shared" si="1"/>
        <v>k0</v>
      </c>
      <c r="R21" s="3"/>
    </row>
    <row r="22" spans="1:18" ht="15" customHeight="1">
      <c r="A22" s="3"/>
      <c r="B22" s="35"/>
      <c r="C22" s="35"/>
      <c r="D22" s="14">
        <f>DELIVERY!E22</f>
        <v>18</v>
      </c>
      <c r="E22" s="14" t="str">
        <f>DELIVERY!F22</f>
        <v>APPLE</v>
      </c>
      <c r="F22" s="14">
        <f>DELIVERY!G22</f>
        <v>6950000003</v>
      </c>
      <c r="G22" s="14" t="str">
        <f>DELIVERY!H22</f>
        <v>MAC BOOK AIR 2019</v>
      </c>
      <c r="H22" s="14" t="s">
        <v>123</v>
      </c>
      <c r="I22" s="14" t="s">
        <v>94</v>
      </c>
      <c r="J22" s="15" t="s">
        <v>56</v>
      </c>
      <c r="K22" s="15">
        <v>43955</v>
      </c>
      <c r="L22" s="16">
        <v>0.33333333333333331</v>
      </c>
      <c r="M22" s="16">
        <v>0.70763888888888893</v>
      </c>
      <c r="N22" s="14" t="str">
        <f>IF(AND(E22="HP", STOCK!$G$4 &gt;0), "AVAILABLE", IF(AND(E22="DELL", STOCK!$G$5 &gt;0), "AVAILABLE", IF(AND(E22="TOSHIBA", STOCK!$G$6 &gt;0), "AVAILABLE",IF(AND(E22="ASUS", STOCK!$G$7 &gt;0), "AVAILABLE", IF(AND(E22="LENOVO", STOCK!$G$8 &gt;0), "AVAILABLE",IF(AND(E22="ACER", STOCK!$G$9 &gt;0), "AVAILABLE",IF(AND(E22="SAMSUNG", STOCK!$G$10 &gt;0), "AVAILABLE",IF(AND(E22="SONY", STOCK!$G$11 &gt;0), "AVAILABLE", IF(AND(E22="APPLE", STOCK!$G$12 &gt;0), "AVAILABLE", "NOT AVAILABLE")))))))))</f>
        <v>NOT AVAILABLE</v>
      </c>
      <c r="O22" s="17">
        <f t="shared" si="0"/>
        <v>0.37430555555555561</v>
      </c>
      <c r="P22" s="14" t="str">
        <f t="shared" si="2"/>
        <v>PENALTY</v>
      </c>
      <c r="Q22" s="18" t="str">
        <f t="shared" si="1"/>
        <v>K200</v>
      </c>
      <c r="R22" s="3"/>
    </row>
    <row r="23" spans="1:18" ht="15" customHeight="1">
      <c r="A23" s="3"/>
      <c r="B23" s="35"/>
      <c r="C23" s="35"/>
      <c r="D23" s="14">
        <f>DELIVERY!E23</f>
        <v>19</v>
      </c>
      <c r="E23" s="14" t="str">
        <f>DELIVERY!F23</f>
        <v>ASUS</v>
      </c>
      <c r="F23" s="14">
        <f>DELIVERY!G23</f>
        <v>9654412530</v>
      </c>
      <c r="G23" s="14" t="str">
        <f>DELIVERY!H23</f>
        <v>TECRA</v>
      </c>
      <c r="H23" s="14" t="s">
        <v>120</v>
      </c>
      <c r="I23" s="14" t="s">
        <v>93</v>
      </c>
      <c r="J23" s="15" t="s">
        <v>57</v>
      </c>
      <c r="K23" s="15">
        <v>43942</v>
      </c>
      <c r="L23" s="16">
        <v>0.46458333333333335</v>
      </c>
      <c r="M23" s="16">
        <v>0.64861111111111114</v>
      </c>
      <c r="N23" s="14" t="str">
        <f>IF(AND(E23="HP", STOCK!$G$4 &gt;0), "AVAILABLE", IF(AND(E23="DELL", STOCK!$G$5 &gt;0), "AVAILABLE", IF(AND(E23="TOSHIBA", STOCK!$G$6 &gt;0), "AVAILABLE",IF(AND(E23="ASUS", STOCK!$G$7 &gt;0), "AVAILABLE", IF(AND(E23="LENOVO", STOCK!$G$8 &gt;0), "AVAILABLE",IF(AND(E23="ACER", STOCK!$G$9 &gt;0), "AVAILABLE",IF(AND(E23="SAMSUNG", STOCK!$G$10 &gt;0), "AVAILABLE",IF(AND(E23="SONY", STOCK!$G$11 &gt;0), "AVAILABLE", IF(AND(E23="APPLE", STOCK!$G$12 &gt;0), "AVAILABLE", "NOT AVAILABLE")))))))))</f>
        <v>NOT AVAILABLE</v>
      </c>
      <c r="O23" s="17">
        <f t="shared" si="0"/>
        <v>0.18402777777777779</v>
      </c>
      <c r="P23" s="14" t="str">
        <f t="shared" si="2"/>
        <v>NO PENALTY</v>
      </c>
      <c r="Q23" s="18" t="str">
        <f t="shared" si="1"/>
        <v>k0</v>
      </c>
      <c r="R23" s="3"/>
    </row>
    <row r="24" spans="1:18" ht="15.75" customHeight="1">
      <c r="A24" s="3"/>
      <c r="B24" s="35"/>
      <c r="C24" s="35"/>
      <c r="D24" s="14">
        <f>DELIVERY!E24</f>
        <v>20</v>
      </c>
      <c r="E24" s="14" t="str">
        <f>DELIVERY!F24</f>
        <v>HP</v>
      </c>
      <c r="F24" s="14">
        <f>DELIVERY!G24</f>
        <v>2103654900</v>
      </c>
      <c r="G24" s="14" t="str">
        <f>DELIVERY!H24</f>
        <v>PROBOOK GMT</v>
      </c>
      <c r="H24" s="14" t="s">
        <v>120</v>
      </c>
      <c r="I24" s="14" t="s">
        <v>93</v>
      </c>
      <c r="J24" s="15" t="s">
        <v>63</v>
      </c>
      <c r="K24" s="15">
        <v>43864</v>
      </c>
      <c r="L24" s="16">
        <v>0.44444444444444442</v>
      </c>
      <c r="M24" s="16">
        <v>0.59791666666666665</v>
      </c>
      <c r="N24" s="14" t="str">
        <f>IF(AND(E24="HP", STOCK!$G$4 &gt;0), "AVAILABLE", IF(AND(E24="DELL", STOCK!$G$5 &gt;0), "AVAILABLE", IF(AND(E24="TOSHIBA", STOCK!$G$6 &gt;0), "AVAILABLE",IF(AND(E24="ASUS", STOCK!$G$7 &gt;0), "AVAILABLE", IF(AND(E24="LENOVO", STOCK!$G$8 &gt;0), "AVAILABLE",IF(AND(E24="ACER", STOCK!$G$9 &gt;0), "AVAILABLE",IF(AND(E24="SAMSUNG", STOCK!$G$10 &gt;0), "AVAILABLE",IF(AND(E24="SONY", STOCK!$G$11 &gt;0), "AVAILABLE", IF(AND(E24="APPLE", STOCK!$G$12 &gt;0), "AVAILABLE", "NOT AVAILABLE")))))))))</f>
        <v>NOT AVAILABLE</v>
      </c>
      <c r="O24" s="17">
        <f t="shared" si="0"/>
        <v>0.15347222222222223</v>
      </c>
      <c r="P24" s="14" t="str">
        <f t="shared" si="2"/>
        <v>NO PENALTY</v>
      </c>
      <c r="Q24" s="18" t="str">
        <f t="shared" si="1"/>
        <v>k0</v>
      </c>
      <c r="R24" s="3"/>
    </row>
    <row r="25" spans="1:18" ht="17.25" customHeight="1">
      <c r="A25" s="3"/>
      <c r="B25" s="3"/>
      <c r="C25" s="3"/>
      <c r="D25" s="3"/>
      <c r="E25" s="3"/>
      <c r="F25" s="3"/>
      <c r="G25" s="3"/>
      <c r="H25" s="21"/>
      <c r="I25" s="3"/>
      <c r="J25" s="3"/>
      <c r="K25" s="3"/>
      <c r="L25" s="3"/>
      <c r="M25" s="3"/>
      <c r="N25" s="3"/>
      <c r="O25" s="3"/>
      <c r="P25" s="3"/>
      <c r="Q25" s="3"/>
      <c r="R25" s="3"/>
    </row>
    <row r="27" spans="1:18" ht="15" customHeight="1"/>
    <row r="28" spans="1:18" ht="15" customHeight="1">
      <c r="E28" s="7"/>
    </row>
    <row r="29" spans="1:18">
      <c r="E29" s="7"/>
    </row>
    <row r="30" spans="1:18">
      <c r="E30" s="7"/>
    </row>
    <row r="31" spans="1:18">
      <c r="E31" s="7"/>
    </row>
    <row r="32" spans="1:18">
      <c r="E32" s="7"/>
    </row>
    <row r="33" spans="5:7">
      <c r="E33" s="7"/>
    </row>
    <row r="34" spans="5:7">
      <c r="E34" s="7"/>
    </row>
    <row r="35" spans="5:7">
      <c r="E35" s="7"/>
    </row>
    <row r="36" spans="5:7">
      <c r="E36" s="7"/>
    </row>
    <row r="37" spans="5:7">
      <c r="E37" s="6"/>
    </row>
    <row r="41" spans="5:7">
      <c r="G41" s="2"/>
    </row>
    <row r="42" spans="5:7">
      <c r="G42" s="2"/>
    </row>
    <row r="43" spans="5:7">
      <c r="G43" s="8"/>
    </row>
    <row r="44" spans="5:7">
      <c r="G44" s="8"/>
    </row>
    <row r="45" spans="5:7">
      <c r="G45" s="8"/>
    </row>
    <row r="46" spans="5:7">
      <c r="G46" s="8"/>
    </row>
    <row r="47" spans="5:7">
      <c r="G47" s="8"/>
    </row>
    <row r="48" spans="5:7" ht="15.75" thickBot="1">
      <c r="G48" s="9"/>
    </row>
  </sheetData>
  <mergeCells count="16">
    <mergeCell ref="V3:Z4"/>
    <mergeCell ref="Q3:Q4"/>
    <mergeCell ref="B3:C24"/>
    <mergeCell ref="L3:M3"/>
    <mergeCell ref="B1:Q2"/>
    <mergeCell ref="D3:D4"/>
    <mergeCell ref="E3:E4"/>
    <mergeCell ref="F3:F4"/>
    <mergeCell ref="G3:G4"/>
    <mergeCell ref="H3:H4"/>
    <mergeCell ref="I3:I4"/>
    <mergeCell ref="J3:J4"/>
    <mergeCell ref="K3:K4"/>
    <mergeCell ref="N3:N4"/>
    <mergeCell ref="O3:O4"/>
    <mergeCell ref="P3:P4"/>
  </mergeCells>
  <phoneticPr fontId="3" type="noConversion"/>
  <conditionalFormatting sqref="G29:G39">
    <cfRule type="duplicateValues" dxfId="32" priority="39"/>
  </conditionalFormatting>
  <conditionalFormatting sqref="K31">
    <cfRule type="cellIs" dxfId="31" priority="32" operator="greaterThan">
      <formula>4</formula>
    </cfRule>
  </conditionalFormatting>
  <conditionalFormatting sqref="K30">
    <cfRule type="cellIs" dxfId="30" priority="31" operator="greaterThan">
      <formula>6</formula>
    </cfRule>
  </conditionalFormatting>
  <conditionalFormatting sqref="K32">
    <cfRule type="cellIs" dxfId="29" priority="30" operator="greaterThan">
      <formula>4</formula>
    </cfRule>
  </conditionalFormatting>
  <conditionalFormatting sqref="K33">
    <cfRule type="cellIs" dxfId="28" priority="29" operator="greaterThan">
      <formula>4</formula>
    </cfRule>
  </conditionalFormatting>
  <conditionalFormatting sqref="K34">
    <cfRule type="cellIs" dxfId="27" priority="28" operator="greaterThan">
      <formula>4</formula>
    </cfRule>
  </conditionalFormatting>
  <conditionalFormatting sqref="H30">
    <cfRule type="cellIs" dxfId="26" priority="25" operator="greaterThan">
      <formula>2</formula>
    </cfRule>
    <cfRule type="cellIs" dxfId="25" priority="26" operator="greaterThan">
      <formula>2</formula>
    </cfRule>
    <cfRule type="cellIs" dxfId="24" priority="27" operator="greaterThan">
      <formula>2</formula>
    </cfRule>
  </conditionalFormatting>
  <conditionalFormatting sqref="H31">
    <cfRule type="cellIs" dxfId="23" priority="24" operator="greaterThan">
      <formula>2</formula>
    </cfRule>
  </conditionalFormatting>
  <conditionalFormatting sqref="H32">
    <cfRule type="cellIs" dxfId="22" priority="23" operator="greaterThan">
      <formula>2</formula>
    </cfRule>
  </conditionalFormatting>
  <conditionalFormatting sqref="H33">
    <cfRule type="cellIs" dxfId="21" priority="22" operator="greaterThan">
      <formula>2</formula>
    </cfRule>
  </conditionalFormatting>
  <conditionalFormatting sqref="H34:H39">
    <cfRule type="cellIs" dxfId="20" priority="21" operator="greaterThan">
      <formula>2</formula>
    </cfRule>
  </conditionalFormatting>
  <conditionalFormatting sqref="V5:V15">
    <cfRule type="duplicateValues" dxfId="19" priority="20"/>
  </conditionalFormatting>
  <conditionalFormatting sqref="Z7">
    <cfRule type="cellIs" dxfId="18" priority="19" operator="greaterThan">
      <formula>4</formula>
    </cfRule>
    <cfRule type="cellIs" dxfId="17" priority="7" operator="greaterThan">
      <formula>4</formula>
    </cfRule>
  </conditionalFormatting>
  <conditionalFormatting sqref="Z6">
    <cfRule type="cellIs" dxfId="16" priority="18" operator="greaterThan">
      <formula>6</formula>
    </cfRule>
    <cfRule type="cellIs" dxfId="15" priority="3" operator="greaterThan">
      <formula>6</formula>
    </cfRule>
    <cfRule type="cellIs" dxfId="14" priority="1" operator="greaterThan">
      <formula>6</formula>
    </cfRule>
  </conditionalFormatting>
  <conditionalFormatting sqref="Z8">
    <cfRule type="cellIs" dxfId="13" priority="17" operator="greaterThan">
      <formula>4</formula>
    </cfRule>
    <cfRule type="cellIs" dxfId="12" priority="6" operator="greaterThan">
      <formula>4</formula>
    </cfRule>
  </conditionalFormatting>
  <conditionalFormatting sqref="Z9">
    <cfRule type="cellIs" dxfId="11" priority="16" operator="greaterThan">
      <formula>4</formula>
    </cfRule>
    <cfRule type="cellIs" dxfId="10" priority="5" operator="greaterThan">
      <formula>4</formula>
    </cfRule>
  </conditionalFormatting>
  <conditionalFormatting sqref="Z10">
    <cfRule type="cellIs" dxfId="9" priority="15" operator="greaterThan">
      <formula>4</formula>
    </cfRule>
    <cfRule type="cellIs" dxfId="8" priority="4" operator="greaterThan">
      <formula>4</formula>
    </cfRule>
  </conditionalFormatting>
  <conditionalFormatting sqref="W6">
    <cfRule type="cellIs" dxfId="7" priority="12" operator="greaterThan">
      <formula>2</formula>
    </cfRule>
    <cfRule type="cellIs" dxfId="6" priority="13" operator="greaterThan">
      <formula>2</formula>
    </cfRule>
    <cfRule type="cellIs" dxfId="5" priority="14" operator="greaterThan">
      <formula>2</formula>
    </cfRule>
  </conditionalFormatting>
  <conditionalFormatting sqref="W7">
    <cfRule type="cellIs" dxfId="4" priority="11" operator="greaterThan">
      <formula>2</formula>
    </cfRule>
  </conditionalFormatting>
  <conditionalFormatting sqref="W8">
    <cfRule type="cellIs" dxfId="3" priority="10" operator="greaterThan">
      <formula>2</formula>
    </cfRule>
  </conditionalFormatting>
  <conditionalFormatting sqref="W9">
    <cfRule type="cellIs" dxfId="2" priority="9" operator="greaterThan">
      <formula>2</formula>
    </cfRule>
  </conditionalFormatting>
  <conditionalFormatting sqref="W10:W15">
    <cfRule type="cellIs" dxfId="1" priority="8" operator="greaterThan">
      <formula>2</formula>
    </cfRule>
  </conditionalFormatting>
  <conditionalFormatting sqref="Z7:Z10">
    <cfRule type="cellIs" dxfId="0" priority="2" operator="greaterThan">
      <formula>4</formula>
    </cfRule>
  </conditionalFormatting>
  <dataValidations count="11">
    <dataValidation type="time" allowBlank="1" showInputMessage="1" showErrorMessage="1" promptTitle="TIME" prompt="Working time is  08:00-12:30 OR 14:00-17:00" sqref="M10 M5:M7" xr:uid="{6F801A4E-FC37-49D1-866F-08CA4A3A2BE0}">
      <formula1>0.583333333333333</formula1>
      <formula2>0.708333333333333</formula2>
    </dataValidation>
    <dataValidation type="list" allowBlank="1" showInputMessage="1" showErrorMessage="1" sqref="V6:V15 I5:I24" xr:uid="{03E2165F-753C-4C2F-8BF5-755927CD22DF}">
      <formula1>"ARNOLD PETE, ALEXANDRO KOVIC, RODGERS WYNTER, SALI DAEL, LUST PICKFORD, NATHAN BARBERMAN, DEXTER WILLIAMS, JANE FIREMANS, RAY BILLIE, JACE MANCHESTER"</formula1>
    </dataValidation>
    <dataValidation type="list" allowBlank="1" showInputMessage="1" showErrorMessage="1" sqref="V6:V15" xr:uid="{8FB25EC4-7ED5-4FA7-8915-6067225E3DFF}">
      <formula1>"ENUIRE, RACHEAL KENHOOD, MELISA ARTHERWAY"</formula1>
    </dataValidation>
    <dataValidation type="list" allowBlank="1" showInputMessage="1" showErrorMessage="1" sqref="H5:H24" xr:uid="{9DD96678-B92C-4F89-A831-AD2DFD4DE729}">
      <formula1>"MANAGER, ASSISTANT MANAGER 1, ASSISTANT MANAGER 2, ASSISTANT MANAGER 3, ASSISTANT MANAGER 4"</formula1>
    </dataValidation>
    <dataValidation type="list" allowBlank="1" showInputMessage="1" showErrorMessage="1" sqref="Y6:Y10" xr:uid="{76A49134-04EB-4332-804D-139DF0CB39B0}">
      <formula1>"MANAEGR, ASSISTANT MANAGER 1, ASSISTANT MANAGER 2, ASSISTANT MANAGER 3, ASSISTANT MANAGER 4"</formula1>
    </dataValidation>
    <dataValidation errorStyle="warning" allowBlank="1" showInputMessage="1" showErrorMessage="1" errorTitle="GREATER THAN 7" error="This is more than required" sqref="Z6" xr:uid="{22ADE591-5058-4539-B71C-F42867FCCAE0}"/>
    <dataValidation type="time" allowBlank="1" showInputMessage="1" showErrorMessage="1" promptTitle="TIME" prompt="Working time is 14:00-17:00" sqref="M8:M9 M11:M24" xr:uid="{90D21033-5AEC-4D3B-8F99-98ECB352958C}">
      <formula1>0.583333333333333</formula1>
      <formula2>0.708333333333333</formula2>
    </dataValidation>
    <dataValidation type="time" allowBlank="1" showInputMessage="1" showErrorMessage="1" errorTitle="TIME OUT!!!" error="Working is 08:00-12:30" promptTitle="TIME" prompt="Working time is  08:00-12:30 OR 14:00-17:00" sqref="L5:L7" xr:uid="{4F8C9AD9-6BAB-4694-8754-744320DCA1F3}">
      <formula1>0.333333333333333</formula1>
      <formula2>0.520833333333333</formula2>
    </dataValidation>
    <dataValidation type="time" allowBlank="1" showInputMessage="1" showErrorMessage="1" errorTitle="TIME OUT!!!" error="Working is 08:00-12:30" promptTitle="TIME" prompt="Working time is  08:00-12:30 " sqref="L8:L10 L16:L17 L19:L20 L24" xr:uid="{E26867E4-9C50-4664-A0FB-F1671E747321}">
      <formula1>0.333333333333333</formula1>
      <formula2>0.520833333333333</formula2>
    </dataValidation>
    <dataValidation type="time" allowBlank="1" showInputMessage="1" showErrorMessage="1" errorTitle="TIME OUT!!!" error="Working is 08:00-12:30" promptTitle="TIME" prompt="Working time is  08:00-12:30" sqref="L11:L12 L14:L15 L18 L21:L23" xr:uid="{60CD1672-964A-4F07-B2AA-069D7D1788D1}">
      <formula1>0.333333333333333</formula1>
      <formula2>0.520833333333333</formula2>
    </dataValidation>
    <dataValidation type="time" allowBlank="1" showInputMessage="1" showErrorMessage="1" errorTitle="TIME OUT!!!" error="Working is 08:00-12:30" promptTitle="TIME" prompt="Working time is  08:00-12:30 _x000a_" sqref="L13" xr:uid="{4E3409EF-B7F2-412B-9C21-7D44112EDE56}">
      <formula1>0.333333333333333</formula1>
      <formula2>0.520833333333333</formula2>
    </dataValidation>
  </dataValidations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F2105-C824-4F35-B55E-57784F5A2432}">
  <dimension ref="A1:H17"/>
  <sheetViews>
    <sheetView workbookViewId="0">
      <selection sqref="A1:H2"/>
    </sheetView>
  </sheetViews>
  <sheetFormatPr defaultRowHeight="15"/>
  <cols>
    <col min="1" max="1" width="2.28515625" customWidth="1"/>
    <col min="3" max="3" width="31.28515625" customWidth="1"/>
    <col min="4" max="5" width="18" customWidth="1"/>
    <col min="6" max="6" width="17.28515625" customWidth="1"/>
    <col min="7" max="7" width="21.7109375" customWidth="1"/>
    <col min="8" max="8" width="3.28515625" customWidth="1"/>
  </cols>
  <sheetData>
    <row r="1" spans="1:8" ht="15" customHeight="1">
      <c r="A1" s="38" t="s">
        <v>106</v>
      </c>
      <c r="B1" s="38"/>
      <c r="C1" s="38"/>
      <c r="D1" s="38"/>
      <c r="E1" s="38"/>
      <c r="F1" s="38"/>
      <c r="G1" s="38"/>
      <c r="H1" s="38"/>
    </row>
    <row r="2" spans="1:8" ht="15.75" thickBot="1">
      <c r="A2" s="38"/>
      <c r="B2" s="38"/>
      <c r="C2" s="38"/>
      <c r="D2" s="38"/>
      <c r="E2" s="38"/>
      <c r="F2" s="38"/>
      <c r="G2" s="38"/>
      <c r="H2" s="38"/>
    </row>
    <row r="3" spans="1:8" ht="15.75" thickBot="1">
      <c r="A3" s="39"/>
      <c r="B3" s="40"/>
      <c r="C3" s="41"/>
      <c r="D3" s="13" t="s">
        <v>107</v>
      </c>
      <c r="E3" s="13" t="s">
        <v>127</v>
      </c>
      <c r="F3" s="13" t="s">
        <v>108</v>
      </c>
      <c r="G3" s="13" t="s">
        <v>66</v>
      </c>
      <c r="H3" s="39"/>
    </row>
    <row r="4" spans="1:8" ht="15.75" thickBot="1">
      <c r="A4" s="39"/>
      <c r="B4" s="40"/>
      <c r="C4" s="41"/>
      <c r="D4" s="11" t="s">
        <v>18</v>
      </c>
      <c r="E4" s="12">
        <f>COUNTIF(DELIVERY!F5:F24, "HP")</f>
        <v>3</v>
      </c>
      <c r="F4" s="11">
        <f>COUNTIF('MANAGEMENT MODULE'!E5:E24,"HP")</f>
        <v>3</v>
      </c>
      <c r="G4" s="11">
        <f>E4-F4</f>
        <v>0</v>
      </c>
      <c r="H4" s="39"/>
    </row>
    <row r="5" spans="1:8" ht="15.75" thickBot="1">
      <c r="A5" s="39"/>
      <c r="B5" s="40"/>
      <c r="C5" s="41"/>
      <c r="D5" s="11" t="s">
        <v>116</v>
      </c>
      <c r="E5" s="12">
        <f>COUNTIF(DELIVERY!F6:F25, "Dell")</f>
        <v>3</v>
      </c>
      <c r="F5" s="11">
        <f>COUNTIF('MANAGEMENT MODULE'!E5:E24,"Dell")</f>
        <v>3</v>
      </c>
      <c r="G5" s="11">
        <f t="shared" ref="G5:G12" si="0">E5-F5</f>
        <v>0</v>
      </c>
      <c r="H5" s="39"/>
    </row>
    <row r="6" spans="1:8" ht="15.75" thickBot="1">
      <c r="A6" s="39"/>
      <c r="B6" s="40"/>
      <c r="C6" s="41"/>
      <c r="D6" s="11" t="s">
        <v>115</v>
      </c>
      <c r="E6" s="12">
        <f>COUNTIF(DELIVERY!F7:F26, "TOSHIBA")</f>
        <v>3</v>
      </c>
      <c r="F6" s="11">
        <f>COUNTIF('MANAGEMENT MODULE'!E5:E24,"Toshiba")</f>
        <v>3</v>
      </c>
      <c r="G6" s="11">
        <f t="shared" si="0"/>
        <v>0</v>
      </c>
      <c r="H6" s="39"/>
    </row>
    <row r="7" spans="1:8" ht="15.75" thickBot="1">
      <c r="A7" s="39"/>
      <c r="B7" s="40"/>
      <c r="C7" s="41"/>
      <c r="D7" s="11" t="s">
        <v>114</v>
      </c>
      <c r="E7" s="12">
        <f>COUNTIF(DELIVERY!F8:F27, "ASUS")</f>
        <v>1</v>
      </c>
      <c r="F7" s="11">
        <f>COUNTIF('MANAGEMENT MODULE'!E5:E24,"Asus")</f>
        <v>1</v>
      </c>
      <c r="G7" s="11">
        <f t="shared" si="0"/>
        <v>0</v>
      </c>
      <c r="H7" s="39"/>
    </row>
    <row r="8" spans="1:8" ht="15.75" thickBot="1">
      <c r="A8" s="39"/>
      <c r="B8" s="40"/>
      <c r="C8" s="41"/>
      <c r="D8" s="11" t="s">
        <v>113</v>
      </c>
      <c r="E8" s="12">
        <f>COUNTIF(DELIVERY!F9:F28, "LENOVO")</f>
        <v>2</v>
      </c>
      <c r="F8" s="11">
        <f>COUNTIF('MANAGEMENT MODULE'!E5:E24,"Lenovo")</f>
        <v>2</v>
      </c>
      <c r="G8" s="11">
        <f t="shared" si="0"/>
        <v>0</v>
      </c>
      <c r="H8" s="39"/>
    </row>
    <row r="9" spans="1:8" ht="15.75" thickBot="1">
      <c r="A9" s="39"/>
      <c r="B9" s="40"/>
      <c r="C9" s="41"/>
      <c r="D9" s="11" t="s">
        <v>112</v>
      </c>
      <c r="E9" s="12">
        <f>COUNTIF(DELIVERY!F10:F29, "ACER")</f>
        <v>2</v>
      </c>
      <c r="F9" s="11">
        <f>COUNTIF('MANAGEMENT MODULE'!E5:E24," Acer")</f>
        <v>0</v>
      </c>
      <c r="G9" s="11">
        <f t="shared" si="0"/>
        <v>2</v>
      </c>
      <c r="H9" s="39"/>
    </row>
    <row r="10" spans="1:8" ht="15.75" thickBot="1">
      <c r="A10" s="39"/>
      <c r="B10" s="40"/>
      <c r="C10" s="41"/>
      <c r="D10" s="11" t="s">
        <v>111</v>
      </c>
      <c r="E10" s="12">
        <f>COUNTIF(DELIVERY!F11:F30, "SAMSUNG")</f>
        <v>2</v>
      </c>
      <c r="F10" s="11">
        <f>COUNTIF('MANAGEMENT MODULE'!E5:E24,"Samsung")</f>
        <v>2</v>
      </c>
      <c r="G10" s="11">
        <f t="shared" si="0"/>
        <v>0</v>
      </c>
      <c r="H10" s="39"/>
    </row>
    <row r="11" spans="1:8" ht="15.75" thickBot="1">
      <c r="A11" s="39"/>
      <c r="B11" s="40"/>
      <c r="C11" s="41"/>
      <c r="D11" s="11" t="s">
        <v>110</v>
      </c>
      <c r="E11" s="12">
        <f>COUNTIF(DELIVERY!F12:F31, "SONY")</f>
        <v>2</v>
      </c>
      <c r="F11" s="11">
        <f>COUNTIF('MANAGEMENT MODULE'!E5:E24,"Sony")</f>
        <v>2</v>
      </c>
      <c r="G11" s="11">
        <f t="shared" si="0"/>
        <v>0</v>
      </c>
      <c r="H11" s="39"/>
    </row>
    <row r="12" spans="1:8" ht="15.75" thickBot="1">
      <c r="A12" s="39"/>
      <c r="B12" s="40"/>
      <c r="C12" s="41"/>
      <c r="D12" s="11" t="s">
        <v>109</v>
      </c>
      <c r="E12" s="12">
        <f>COUNTIF(DELIVERY!F13:F32, "APPLE")</f>
        <v>2</v>
      </c>
      <c r="F12" s="11">
        <f>COUNTIF('MANAGEMENT MODULE'!E5:E24,"Apple")</f>
        <v>2</v>
      </c>
      <c r="G12" s="11">
        <f t="shared" si="0"/>
        <v>0</v>
      </c>
      <c r="H12" s="39"/>
    </row>
    <row r="13" spans="1:8">
      <c r="A13" s="39"/>
      <c r="B13" s="39"/>
      <c r="C13" s="39"/>
      <c r="D13" s="39"/>
      <c r="E13" s="39"/>
      <c r="F13" s="39"/>
      <c r="G13" s="39"/>
      <c r="H13" s="39"/>
    </row>
    <row r="16" spans="1:8">
      <c r="C16" s="6"/>
    </row>
    <row r="17" spans="3:3">
      <c r="C17" s="6"/>
    </row>
  </sheetData>
  <mergeCells count="5">
    <mergeCell ref="A1:H2"/>
    <mergeCell ref="A3:A13"/>
    <mergeCell ref="H3:H13"/>
    <mergeCell ref="B13:G13"/>
    <mergeCell ref="B3:C12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DELIVERY</vt:lpstr>
      <vt:lpstr>MANAGEMENT MODULE</vt:lpstr>
      <vt:lpstr>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CHIPULU</dc:creator>
  <cp:lastModifiedBy>Chishimba C Chipulu</cp:lastModifiedBy>
  <dcterms:created xsi:type="dcterms:W3CDTF">2021-09-03T17:51:25Z</dcterms:created>
  <dcterms:modified xsi:type="dcterms:W3CDTF">2021-11-22T08:15:47Z</dcterms:modified>
</cp:coreProperties>
</file>